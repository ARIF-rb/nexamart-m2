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Anomalie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KPI Views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Deliverables" sheetId="7" state="visible" r:id="rId7"/>
    <sheet xmlns:r="http://schemas.openxmlformats.org/officeDocument/2006/relationships" name="Standup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b val="1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color rgb="003F3F3F"/>
      </font>
      <fill>
        <patternFill patternType="solid">
          <fgColor rgb="00D9D9D9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</cols>
  <sheetData>
    <row r="1">
      <c r="A1" s="1" t="inlineStr">
        <is>
          <t>NexaMart M2 — Group Execution Tracker</t>
        </is>
      </c>
    </row>
    <row r="3">
      <c r="A3" s="2" t="inlineStr">
        <is>
          <t>Milestone</t>
        </is>
      </c>
      <c r="B3" t="inlineStr">
        <is>
          <t>M2 of 2 — Validate, Fix, Analyse, Conclude</t>
        </is>
      </c>
    </row>
    <row r="4">
      <c r="A4" s="2" t="inlineStr">
        <is>
          <t>Submission</t>
        </is>
      </c>
      <c r="B4" t="inlineStr">
        <is>
          <t>Single ZIP: nexamart_m2_group_[N].zip</t>
        </is>
      </c>
    </row>
    <row r="5">
      <c r="A5" s="2" t="inlineStr">
        <is>
          <t>Campaign window</t>
        </is>
      </c>
      <c r="B5" t="inlineStr">
        <is>
          <t>8-28 Aug 2024 (baseline 1 Mar-31 Jul; ramp 1-7 Aug; post 29 Aug-14 Sep)</t>
        </is>
      </c>
    </row>
    <row r="6">
      <c r="A6" s="2" t="inlineStr">
        <is>
          <t>Repo / branch</t>
        </is>
      </c>
      <c r="B6" t="inlineStr">
        <is>
          <t>github.com/ARIF-rb/nexamart-m2 — working branch: main</t>
        </is>
      </c>
    </row>
    <row r="7">
      <c r="A7" s="2" t="inlineStr">
        <is>
          <t>Deadline</t>
        </is>
      </c>
      <c r="B7" t="inlineStr">
        <is>
          <t>Day 10 EOD</t>
        </is>
      </c>
    </row>
    <row r="9">
      <c r="A9" s="3" t="inlineStr">
        <is>
          <t>PROGRESS</t>
        </is>
      </c>
    </row>
    <row r="10">
      <c r="A10" s="2" t="inlineStr">
        <is>
          <t>Anomalies resolved</t>
        </is>
      </c>
      <c r="B10">
        <f>COUNTIF(Anomalies!K2:K25,"Done")&amp;"/"&amp;24</f>
        <v/>
      </c>
    </row>
    <row r="11">
      <c r="A11" s="2" t="inlineStr">
        <is>
          <t>KPI views done</t>
        </is>
      </c>
      <c r="B11">
        <f>COUNTIF('KPI Views'!H2:H29,"Done")&amp;"/"&amp;28</f>
        <v/>
      </c>
    </row>
    <row r="12">
      <c r="A12" s="2" t="inlineStr">
        <is>
          <t>Validation checks passing</t>
        </is>
      </c>
      <c r="B12">
        <f>COUNTIF(Validation!F2:F11,"Pass")&amp;"/"&amp;10</f>
        <v/>
      </c>
    </row>
    <row r="13">
      <c r="A13" s="2" t="inlineStr">
        <is>
          <t>Deliverables done</t>
        </is>
      </c>
      <c r="B13">
        <f>COUNTIF(Deliverables!D2:D12,"Done")&amp;"/"&amp;11</f>
        <v/>
      </c>
    </row>
    <row r="14">
      <c r="A14" s="2" t="inlineStr">
        <is>
          <t>Tasks done</t>
        </is>
      </c>
      <c r="B14">
        <f>COUNTIF(Tasks!G2:G63,"Done")&amp;"/"&amp;62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  <c r="B1" t="inlineStr">
        <is>
          <t>Pending</t>
        </is>
      </c>
      <c r="C1" t="inlineStr">
        <is>
          <t>No</t>
        </is>
      </c>
      <c r="D1" t="inlineStr">
        <is>
          <t>Lead</t>
        </is>
      </c>
    </row>
    <row r="2">
      <c r="A2" t="inlineStr">
        <is>
          <t>In progress</t>
        </is>
      </c>
      <c r="B2" t="inlineStr">
        <is>
          <t>Pass</t>
        </is>
      </c>
      <c r="C2" t="inlineStr">
        <is>
          <t>Yes</t>
        </is>
      </c>
      <c r="D2" t="inlineStr">
        <is>
          <t>M2</t>
        </is>
      </c>
    </row>
    <row r="3">
      <c r="A3" t="inlineStr">
        <is>
          <t>Blocked</t>
        </is>
      </c>
      <c r="B3" t="inlineStr">
        <is>
          <t>Fail</t>
        </is>
      </c>
      <c r="D3" t="inlineStr">
        <is>
          <t>M3</t>
        </is>
      </c>
    </row>
    <row r="4">
      <c r="A4" t="inlineStr">
        <is>
          <t>Done</t>
        </is>
      </c>
      <c r="D4" t="inlineStr">
        <is>
          <t>M4</t>
        </is>
      </c>
    </row>
    <row r="5">
      <c r="D5" t="inlineStr">
        <is>
          <t>M5</t>
        </is>
      </c>
    </row>
    <row r="6">
      <c r="D6" t="inlineStr">
        <is>
          <t>M6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38" customWidth="1" min="3" max="3"/>
    <col width="7" customWidth="1" min="4" max="4"/>
    <col width="30" customWidth="1" min="5" max="5"/>
    <col width="34" customWidth="1" min="6" max="6"/>
    <col width="11" customWidth="1" min="7" max="7"/>
    <col width="10" customWidth="1" min="8" max="8"/>
    <col width="12" customWidth="1" min="9" max="9"/>
    <col width="14" customWidth="1" min="10" max="10"/>
    <col width="13" customWidth="1" min="11" max="11"/>
    <col width="24" customWidth="1" min="12" max="12"/>
  </cols>
  <sheetData>
    <row r="1">
      <c r="A1" s="4" t="inlineStr">
        <is>
          <t>ID</t>
        </is>
      </c>
      <c r="B1" s="4" t="inlineStr">
        <is>
          <t>Cat</t>
        </is>
      </c>
      <c r="C1" s="4" t="inlineStr">
        <is>
          <t>Title</t>
        </is>
      </c>
      <c r="D1" s="4" t="inlineStr">
        <is>
          <t>Owner</t>
        </is>
      </c>
      <c r="E1" s="4" t="inlineStr">
        <is>
          <t>Source Silver</t>
        </is>
      </c>
      <c r="F1" s="4" t="inlineStr">
        <is>
          <t>Resolution method / b_class</t>
        </is>
      </c>
      <c r="G1" s="4" t="inlineStr">
        <is>
          <t>Detection</t>
        </is>
      </c>
      <c r="H1" s="4" t="inlineStr">
        <is>
          <t>Resolved</t>
        </is>
      </c>
      <c r="I1" s="4" t="inlineStr">
        <is>
          <t>Gold rebuilt</t>
        </is>
      </c>
      <c r="J1" s="4" t="inlineStr">
        <is>
          <t>Re-verified-&gt;0</t>
        </is>
      </c>
      <c r="K1" s="4" t="inlineStr">
        <is>
          <t>Status</t>
        </is>
      </c>
      <c r="L1" s="4" t="inlineStr">
        <is>
          <t>Notes</t>
        </is>
      </c>
    </row>
    <row r="2">
      <c r="A2" s="5" t="inlineStr">
        <is>
          <t>A1</t>
        </is>
      </c>
      <c r="B2" s="5" t="inlineStr">
        <is>
          <t>A</t>
        </is>
      </c>
      <c r="C2" s="5" t="inlineStr">
        <is>
          <t>Cancelled EC order still in revenue</t>
        </is>
      </c>
      <c r="D2" s="5" t="inlineStr">
        <is>
          <t>M5</t>
        </is>
      </c>
      <c r="E2" s="5" t="inlineStr">
        <is>
          <t>silver_ec_orders</t>
        </is>
      </c>
      <c r="F2" s="5" t="inlineStr">
        <is>
          <t>Zero cancelled revenue</t>
        </is>
      </c>
      <c r="G2" s="5" t="inlineStr">
        <is>
          <t>No</t>
        </is>
      </c>
      <c r="H2" s="5" t="inlineStr">
        <is>
          <t>No</t>
        </is>
      </c>
      <c r="I2" s="5" t="inlineStr">
        <is>
          <t>No</t>
        </is>
      </c>
      <c r="J2" s="5" t="inlineStr">
        <is>
          <t>No</t>
        </is>
      </c>
      <c r="K2" s="5" t="inlineStr">
        <is>
          <t>Not started</t>
        </is>
      </c>
      <c r="L2" s="5" t="inlineStr"/>
    </row>
    <row r="3">
      <c r="A3" s="5" t="inlineStr">
        <is>
          <t>A2</t>
        </is>
      </c>
      <c r="B3" s="5" t="inlineStr">
        <is>
          <t>A</t>
        </is>
      </c>
      <c r="C3" s="5" t="inlineStr">
        <is>
          <t>Payment captured after cancellation</t>
        </is>
      </c>
      <c r="D3" s="5" t="inlineStr">
        <is>
          <t>M5</t>
        </is>
      </c>
      <c r="E3" s="5" t="inlineStr">
        <is>
          <t>silver_pg_transactions</t>
        </is>
      </c>
      <c r="F3" s="5" t="inlineStr">
        <is>
          <t>Flag reversal-required</t>
        </is>
      </c>
      <c r="G3" s="5" t="inlineStr">
        <is>
          <t>No</t>
        </is>
      </c>
      <c r="H3" s="5" t="inlineStr">
        <is>
          <t>No</t>
        </is>
      </c>
      <c r="I3" s="5" t="inlineStr">
        <is>
          <t>No</t>
        </is>
      </c>
      <c r="J3" s="5" t="inlineStr">
        <is>
          <t>No</t>
        </is>
      </c>
      <c r="K3" s="5" t="inlineStr">
        <is>
          <t>Not started</t>
        </is>
      </c>
      <c r="L3" s="5" t="inlineStr"/>
    </row>
    <row r="4">
      <c r="A4" s="5" t="inlineStr">
        <is>
          <t>A3</t>
        </is>
      </c>
      <c r="B4" s="5" t="inlineStr">
        <is>
          <t>A</t>
        </is>
      </c>
      <c r="C4" s="5" t="inlineStr">
        <is>
          <t>Tax/shipping inclusion mismatch</t>
        </is>
      </c>
      <c r="D4" s="5" t="inlineStr">
        <is>
          <t>M5</t>
        </is>
      </c>
      <c r="E4" s="5" t="inlineStr">
        <is>
          <t>silver_ec_orders; silver_pos_transactions</t>
        </is>
      </c>
      <c r="F4" s="5" t="inlineStr">
        <is>
          <t>Normalise to tax-exclusive</t>
        </is>
      </c>
      <c r="G4" s="5" t="inlineStr">
        <is>
          <t>No</t>
        </is>
      </c>
      <c r="H4" s="5" t="inlineStr">
        <is>
          <t>No</t>
        </is>
      </c>
      <c r="I4" s="5" t="inlineStr">
        <is>
          <t>No</t>
        </is>
      </c>
      <c r="J4" s="5" t="inlineStr">
        <is>
          <t>No</t>
        </is>
      </c>
      <c r="K4" s="5" t="inlineStr">
        <is>
          <t>Not started</t>
        </is>
      </c>
      <c r="L4" s="5" t="inlineStr"/>
    </row>
    <row r="5">
      <c r="A5" s="5" t="inlineStr">
        <is>
          <t>A4</t>
        </is>
      </c>
      <c r="B5" s="5" t="inlineStr">
        <is>
          <t>A</t>
        </is>
      </c>
      <c r="C5" s="5" t="inlineStr">
        <is>
          <t>NexaLocal seller-marked-sold as confirmed revenue</t>
        </is>
      </c>
      <c r="D5" s="5" t="inlineStr">
        <is>
          <t>M6</t>
        </is>
      </c>
      <c r="E5" s="5" t="inlineStr">
        <is>
          <t>silver_nl_listing_events</t>
        </is>
      </c>
      <c r="F5" s="5" t="inlineStr">
        <is>
          <t>Relabel ESTIMATED (feeds B6)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5" t="inlineStr">
        <is>
          <t>No</t>
        </is>
      </c>
      <c r="K5" s="5" t="inlineStr">
        <is>
          <t>Not started</t>
        </is>
      </c>
      <c r="L5" s="5" t="inlineStr"/>
    </row>
    <row r="6">
      <c r="A6" s="5" t="inlineStr">
        <is>
          <t>A5</t>
        </is>
      </c>
      <c r="B6" s="5" t="inlineStr">
        <is>
          <t>A</t>
        </is>
      </c>
      <c r="C6" s="5" t="inlineStr">
        <is>
          <t>Website ATP&gt;0 while warehouse physical=0</t>
        </is>
      </c>
      <c r="D6" s="5" t="inlineStr">
        <is>
          <t>Lead</t>
        </is>
      </c>
      <c r="E6" s="5" t="inlineStr">
        <is>
          <t>silver_wh_inventory_snapshots</t>
        </is>
      </c>
      <c r="F6" s="5" t="inlineStr">
        <is>
          <t>Correct ATP to 0</t>
        </is>
      </c>
      <c r="G6" s="5" t="inlineStr">
        <is>
          <t>No</t>
        </is>
      </c>
      <c r="H6" s="5" t="inlineStr">
        <is>
          <t>No</t>
        </is>
      </c>
      <c r="I6" s="5" t="inlineStr">
        <is>
          <t>No</t>
        </is>
      </c>
      <c r="J6" s="5" t="inlineStr">
        <is>
          <t>No</t>
        </is>
      </c>
      <c r="K6" s="5" t="inlineStr">
        <is>
          <t>Not started</t>
        </is>
      </c>
      <c r="L6" s="5" t="inlineStr"/>
    </row>
    <row r="7">
      <c r="A7" s="5" t="inlineStr">
        <is>
          <t>A6</t>
        </is>
      </c>
      <c r="B7" s="5" t="inlineStr">
        <is>
          <t>A</t>
        </is>
      </c>
      <c r="C7" s="5" t="inlineStr">
        <is>
          <t>Negative ATP / sellable qty</t>
        </is>
      </c>
      <c r="D7" s="5" t="inlineStr">
        <is>
          <t>M4</t>
        </is>
      </c>
      <c r="E7" s="5" t="inlineStr">
        <is>
          <t>silver_si_inventory_snapshots</t>
        </is>
      </c>
      <c r="F7" s="5" t="inlineStr">
        <is>
          <t>Correct to 0 + oversell flag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No</t>
        </is>
      </c>
      <c r="J7" s="5" t="inlineStr">
        <is>
          <t>No</t>
        </is>
      </c>
      <c r="K7" s="5" t="inlineStr">
        <is>
          <t>Not started</t>
        </is>
      </c>
      <c r="L7" s="5" t="inlineStr"/>
    </row>
    <row r="8">
      <c r="A8" s="5" t="inlineStr">
        <is>
          <t>A7</t>
        </is>
      </c>
      <c r="B8" s="5" t="inlineStr">
        <is>
          <t>A</t>
        </is>
      </c>
      <c r="C8" s="5" t="inlineStr">
        <is>
          <t>Returned stock sellable before inspection</t>
        </is>
      </c>
      <c r="D8" s="5" t="inlineStr">
        <is>
          <t>Lead</t>
        </is>
      </c>
      <c r="E8" s="5" t="inlineStr">
        <is>
          <t>silver_rr_return_receipts</t>
        </is>
      </c>
      <c r="F8" s="5" t="inlineStr">
        <is>
          <t>Zero pre-inspection restock</t>
        </is>
      </c>
      <c r="G8" s="5" t="inlineStr">
        <is>
          <t>No</t>
        </is>
      </c>
      <c r="H8" s="5" t="inlineStr">
        <is>
          <t>No</t>
        </is>
      </c>
      <c r="I8" s="5" t="inlineStr">
        <is>
          <t>No</t>
        </is>
      </c>
      <c r="J8" s="5" t="inlineStr">
        <is>
          <t>No</t>
        </is>
      </c>
      <c r="K8" s="5" t="inlineStr">
        <is>
          <t>Not started</t>
        </is>
      </c>
      <c r="L8" s="5" t="inlineStr"/>
    </row>
    <row r="9">
      <c r="A9" s="5" t="inlineStr">
        <is>
          <t>A8</t>
        </is>
      </c>
      <c r="B9" s="5" t="inlineStr">
        <is>
          <t>A</t>
        </is>
      </c>
      <c r="C9" s="5" t="inlineStr">
        <is>
          <t>Missing snapshot days (1-7 Aug ramp-up)</t>
        </is>
      </c>
      <c r="D9" s="5" t="inlineStr">
        <is>
          <t>Lead</t>
        </is>
      </c>
      <c r="E9" s="5" t="inlineStr">
        <is>
          <t>silver_si_inventory_snapshots</t>
        </is>
      </c>
      <c r="F9" s="5" t="inlineStr">
        <is>
          <t>Reconstruct -&gt; RECONSTRUCTED/INFERRED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5" t="inlineStr">
        <is>
          <t>No</t>
        </is>
      </c>
      <c r="K9" s="5" t="inlineStr">
        <is>
          <t>Not started</t>
        </is>
      </c>
      <c r="L9" s="5" t="inlineStr"/>
    </row>
    <row r="10">
      <c r="A10" s="5" t="inlineStr">
        <is>
          <t>A9</t>
        </is>
      </c>
      <c r="B10" s="5" t="inlineStr">
        <is>
          <t>A</t>
        </is>
      </c>
      <c r="C10" s="5" t="inlineStr">
        <is>
          <t>Same SKU -&gt; different products</t>
        </is>
      </c>
      <c r="D10" s="5" t="inlineStr">
        <is>
          <t>M3</t>
        </is>
      </c>
      <c r="E10" s="5" t="inlineStr">
        <is>
          <t>silver_product_master</t>
        </is>
      </c>
      <c r="F10" s="5" t="inlineStr">
        <is>
          <t>Canonical product (catalogue wins)</t>
        </is>
      </c>
      <c r="G10" s="5" t="inlineStr">
        <is>
          <t>No</t>
        </is>
      </c>
      <c r="H10" s="5" t="inlineStr">
        <is>
          <t>No</t>
        </is>
      </c>
      <c r="I10" s="5" t="inlineStr">
        <is>
          <t>No</t>
        </is>
      </c>
      <c r="J10" s="5" t="inlineStr">
        <is>
          <t>No</t>
        </is>
      </c>
      <c r="K10" s="5" t="inlineStr">
        <is>
          <t>Not started</t>
        </is>
      </c>
      <c r="L10" s="5" t="inlineStr"/>
    </row>
    <row r="11">
      <c r="A11" s="5" t="inlineStr">
        <is>
          <t>A10</t>
        </is>
      </c>
      <c r="B11" s="5" t="inlineStr">
        <is>
          <t>A</t>
        </is>
      </c>
      <c r="C11" s="5" t="inlineStr">
        <is>
          <t>Open-box restocked as NEW</t>
        </is>
      </c>
      <c r="D11" s="5" t="inlineStr">
        <is>
          <t>M4</t>
        </is>
      </c>
      <c r="E11" s="5" t="inlineStr">
        <is>
          <t>silver_rr_return_receipts</t>
        </is>
      </c>
      <c r="F11" s="5" t="inlineStr">
        <is>
          <t>Correct condition to open-box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5" t="inlineStr">
        <is>
          <t>No</t>
        </is>
      </c>
      <c r="K11" s="5" t="inlineStr">
        <is>
          <t>Not started</t>
        </is>
      </c>
      <c r="L11" s="5" t="inlineStr"/>
    </row>
    <row r="12">
      <c r="A12" s="5" t="inlineStr">
        <is>
          <t>A11</t>
        </is>
      </c>
      <c r="B12" s="5" t="inlineStr">
        <is>
          <t>A</t>
        </is>
      </c>
      <c r="C12" s="5" t="inlineStr">
        <is>
          <t>Placeholder customer 9999 collision</t>
        </is>
      </c>
      <c r="D12" s="5" t="inlineStr">
        <is>
          <t>M2</t>
        </is>
      </c>
      <c r="E12" s="5" t="inlineStr">
        <is>
          <t>silver_customer_master; silver_ec_orders</t>
        </is>
      </c>
      <c r="F12" s="5" t="inlineStr">
        <is>
          <t>Rekey guests to GUEST-{session}</t>
        </is>
      </c>
      <c r="G12" s="5" t="inlineStr">
        <is>
          <t>No</t>
        </is>
      </c>
      <c r="H12" s="5" t="inlineStr">
        <is>
          <t>No</t>
        </is>
      </c>
      <c r="I12" s="5" t="inlineStr">
        <is>
          <t>No</t>
        </is>
      </c>
      <c r="J12" s="5" t="inlineStr">
        <is>
          <t>No</t>
        </is>
      </c>
      <c r="K12" s="5" t="inlineStr">
        <is>
          <t>Not started</t>
        </is>
      </c>
      <c r="L12" s="5" t="inlineStr"/>
    </row>
    <row r="13">
      <c r="A13" s="5" t="inlineStr">
        <is>
          <t>A12</t>
        </is>
      </c>
      <c r="B13" s="5" t="inlineStr">
        <is>
          <t>A</t>
        </is>
      </c>
      <c r="C13" s="5" t="inlineStr">
        <is>
          <t>Listing marked sold then relisted</t>
        </is>
      </c>
      <c r="D13" s="5" t="inlineStr">
        <is>
          <t>Lead</t>
        </is>
      </c>
      <c r="E13" s="5" t="inlineStr">
        <is>
          <t>silver_nl_listings</t>
        </is>
      </c>
      <c r="F13" s="5" t="inlineStr">
        <is>
          <t>Link + exclude from GMV; reliability=LOW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5" t="inlineStr">
        <is>
          <t>No</t>
        </is>
      </c>
      <c r="K13" s="5" t="inlineStr">
        <is>
          <t>Not started</t>
        </is>
      </c>
      <c r="L13" s="5" t="inlineStr"/>
    </row>
    <row r="14">
      <c r="A14" s="5" t="inlineStr">
        <is>
          <t>A13</t>
        </is>
      </c>
      <c r="B14" s="5" t="inlineStr">
        <is>
          <t>A</t>
        </is>
      </c>
      <c r="C14" s="5" t="inlineStr">
        <is>
          <t>Coordinated fake listing ring</t>
        </is>
      </c>
      <c r="D14" s="5" t="inlineStr">
        <is>
          <t>M6</t>
        </is>
      </c>
      <c r="E14" s="5" t="inlineStr">
        <is>
          <t>silver_nl_listings</t>
        </is>
      </c>
      <c r="F14" s="5" t="inlineStr">
        <is>
          <t>Flag risk tier; exclude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No</t>
        </is>
      </c>
      <c r="J14" s="5" t="inlineStr">
        <is>
          <t>No</t>
        </is>
      </c>
      <c r="K14" s="5" t="inlineStr">
        <is>
          <t>Not started</t>
        </is>
      </c>
      <c r="L14" s="5" t="inlineStr"/>
    </row>
    <row r="15">
      <c r="A15" s="5" t="inlineStr">
        <is>
          <t>A14</t>
        </is>
      </c>
      <c r="B15" s="5" t="inlineStr">
        <is>
          <t>A</t>
        </is>
      </c>
      <c r="C15" s="5" t="inlineStr">
        <is>
          <t>Delivered before shipped</t>
        </is>
      </c>
      <c r="D15" s="5" t="inlineStr">
        <is>
          <t>Lead</t>
        </is>
      </c>
      <c r="E15" s="5" t="inlineStr">
        <is>
          <t>silver_dc_delivery_events</t>
        </is>
      </c>
      <c r="F15" s="5" t="inlineStr">
        <is>
          <t>+36h median; &gt;72h manual review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5" t="inlineStr">
        <is>
          <t>No</t>
        </is>
      </c>
      <c r="K15" s="5" t="inlineStr">
        <is>
          <t>Not started</t>
        </is>
      </c>
      <c r="L15" s="5" t="inlineStr"/>
    </row>
    <row r="16">
      <c r="A16" s="5" t="inlineStr">
        <is>
          <t>A15</t>
        </is>
      </c>
      <c r="B16" s="5" t="inlineStr">
        <is>
          <t>A</t>
        </is>
      </c>
      <c r="C16" s="5" t="inlineStr">
        <is>
          <t>Review before delivery</t>
        </is>
      </c>
      <c r="D16" s="5" t="inlineStr">
        <is>
          <t>M6</t>
        </is>
      </c>
      <c r="E16" s="5" t="inlineStr">
        <is>
          <t>silver_rv_reviews</t>
        </is>
      </c>
      <c r="F16" s="5" t="inlineStr">
        <is>
          <t>verified_purchase=FALSE</t>
        </is>
      </c>
      <c r="G16" s="5" t="inlineStr">
        <is>
          <t>No</t>
        </is>
      </c>
      <c r="H16" s="5" t="inlineStr">
        <is>
          <t>No</t>
        </is>
      </c>
      <c r="I16" s="5" t="inlineStr">
        <is>
          <t>No</t>
        </is>
      </c>
      <c r="J16" s="5" t="inlineStr">
        <is>
          <t>No</t>
        </is>
      </c>
      <c r="K16" s="5" t="inlineStr">
        <is>
          <t>Not started</t>
        </is>
      </c>
      <c r="L16" s="5" t="inlineStr"/>
    </row>
    <row r="17">
      <c r="A17" s="5" t="inlineStr">
        <is>
          <t>A16</t>
        </is>
      </c>
      <c r="B17" s="5" t="inlineStr">
        <is>
          <t>A</t>
        </is>
      </c>
      <c r="C17" s="5" t="inlineStr">
        <is>
          <t>Duplicate complaint cases</t>
        </is>
      </c>
      <c r="D17" s="5" t="inlineStr">
        <is>
          <t>M6</t>
        </is>
      </c>
      <c r="E17" s="5" t="inlineStr">
        <is>
          <t>silver_cs_cases</t>
        </is>
      </c>
      <c r="F17" s="5" t="inlineStr">
        <is>
          <t>Dedupe to canonical case key</t>
        </is>
      </c>
      <c r="G17" s="5" t="inlineStr">
        <is>
          <t>No</t>
        </is>
      </c>
      <c r="H17" s="5" t="inlineStr">
        <is>
          <t>No</t>
        </is>
      </c>
      <c r="I17" s="5" t="inlineStr">
        <is>
          <t>No</t>
        </is>
      </c>
      <c r="J17" s="5" t="inlineStr">
        <is>
          <t>No</t>
        </is>
      </c>
      <c r="K17" s="5" t="inlineStr">
        <is>
          <t>Not started</t>
        </is>
      </c>
      <c r="L17" s="5" t="inlineStr"/>
    </row>
    <row r="18">
      <c r="A18" s="5" t="inlineStr">
        <is>
          <t>B1</t>
        </is>
      </c>
      <c r="B18" s="5" t="inlineStr">
        <is>
          <t>B</t>
        </is>
      </c>
      <c r="C18" s="5" t="inlineStr">
        <is>
          <t>Campaign-window attribution</t>
        </is>
      </c>
      <c r="D18" s="5" t="inlineStr">
        <is>
          <t>Lead</t>
        </is>
      </c>
      <c r="E18" s="5" t="inlineStr">
        <is>
          <t>silver_ec_orders; silver_ws_sessions</t>
        </is>
      </c>
      <c r="F18" s="5" t="inlineStr">
        <is>
          <t>Attribute (b_class=ATTRIBUTED, conf 0.85)</t>
        </is>
      </c>
      <c r="G18" s="5" t="inlineStr">
        <is>
          <t>No</t>
        </is>
      </c>
      <c r="H18" s="5" t="inlineStr">
        <is>
          <t>No</t>
        </is>
      </c>
      <c r="I18" s="5" t="inlineStr">
        <is>
          <t>No</t>
        </is>
      </c>
      <c r="J18" s="5" t="inlineStr">
        <is>
          <t>No</t>
        </is>
      </c>
      <c r="K18" s="5" t="inlineStr">
        <is>
          <t>Not started</t>
        </is>
      </c>
      <c r="L18" s="5" t="inlineStr"/>
    </row>
    <row r="19">
      <c r="A19" s="5" t="inlineStr">
        <is>
          <t>B2</t>
        </is>
      </c>
      <c r="B19" s="5" t="inlineStr">
        <is>
          <t>B</t>
        </is>
      </c>
      <c r="C19" s="5" t="inlineStr">
        <is>
          <t>Partial refund period attribution</t>
        </is>
      </c>
      <c r="D19" s="5" t="inlineStr">
        <is>
          <t>Lead</t>
        </is>
      </c>
      <c r="E19" s="5" t="inlineStr">
        <is>
          <t>silver_rr_refund_events</t>
        </is>
      </c>
      <c r="F19" s="5" t="inlineStr">
        <is>
          <t>Recognise in return period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5" t="inlineStr">
        <is>
          <t>No</t>
        </is>
      </c>
      <c r="K19" s="5" t="inlineStr">
        <is>
          <t>Not started</t>
        </is>
      </c>
      <c r="L19" s="5" t="inlineStr"/>
    </row>
    <row r="20">
      <c r="A20" s="5" t="inlineStr">
        <is>
          <t>B3</t>
        </is>
      </c>
      <c r="B20" s="5" t="inlineStr">
        <is>
          <t>B</t>
        </is>
      </c>
      <c r="C20" s="5" t="inlineStr">
        <is>
          <t>Inventory movement without ref order</t>
        </is>
      </c>
      <c r="D20" s="5" t="inlineStr">
        <is>
          <t>Lead</t>
        </is>
      </c>
      <c r="E20" s="5" t="inlineStr">
        <is>
          <t>silver_wh_inventory_movements</t>
        </is>
      </c>
      <c r="F20" s="5" t="inlineStr">
        <is>
          <t>Classify PROBABLE_MISSING_REF (INFERRED)</t>
        </is>
      </c>
      <c r="G20" s="5" t="inlineStr">
        <is>
          <t>No</t>
        </is>
      </c>
      <c r="H20" s="5" t="inlineStr">
        <is>
          <t>No</t>
        </is>
      </c>
      <c r="I20" s="5" t="inlineStr">
        <is>
          <t>No</t>
        </is>
      </c>
      <c r="J20" s="5" t="inlineStr">
        <is>
          <t>No</t>
        </is>
      </c>
      <c r="K20" s="5" t="inlineStr">
        <is>
          <t>Not started</t>
        </is>
      </c>
      <c r="L20" s="5" t="inlineStr"/>
    </row>
    <row r="21">
      <c r="A21" s="5" t="inlineStr">
        <is>
          <t>B4</t>
        </is>
      </c>
      <c r="B21" s="5" t="inlineStr">
        <is>
          <t>B</t>
        </is>
      </c>
      <c r="C21" s="5" t="inlineStr">
        <is>
          <t>NexaLocal listing -&gt; catalogue match</t>
        </is>
      </c>
      <c r="D21" s="5" t="inlineStr">
        <is>
          <t>M3</t>
        </is>
      </c>
      <c r="E21" s="5" t="inlineStr">
        <is>
          <t>silver_nl_listings</t>
        </is>
      </c>
      <c r="F21" s="5" t="inlineStr">
        <is>
          <t>Match &gt;=0.75 / 0.65-0.75 review / &lt;0.65 unmatched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5" t="inlineStr">
        <is>
          <t>No</t>
        </is>
      </c>
      <c r="K21" s="5" t="inlineStr">
        <is>
          <t>Not started</t>
        </is>
      </c>
      <c r="L21" s="5" t="inlineStr"/>
    </row>
    <row r="22">
      <c r="A22" s="5" t="inlineStr">
        <is>
          <t>B5</t>
        </is>
      </c>
      <c r="B22" s="5" t="inlineStr">
        <is>
          <t>B</t>
        </is>
      </c>
      <c r="C22" s="5" t="inlineStr">
        <is>
          <t>Cross-channel identity resolution</t>
        </is>
      </c>
      <c r="D22" s="5" t="inlineStr">
        <is>
          <t>M2</t>
        </is>
      </c>
      <c r="E22" s="5" t="inlineStr">
        <is>
          <t>silver_customer_master</t>
        </is>
      </c>
      <c r="F22" s="5" t="inlineStr">
        <is>
          <t>Probabilistic merge &gt;=0.90</t>
        </is>
      </c>
      <c r="G22" s="5" t="inlineStr">
        <is>
          <t>No</t>
        </is>
      </c>
      <c r="H22" s="5" t="inlineStr">
        <is>
          <t>No</t>
        </is>
      </c>
      <c r="I22" s="5" t="inlineStr">
        <is>
          <t>No</t>
        </is>
      </c>
      <c r="J22" s="5" t="inlineStr">
        <is>
          <t>No</t>
        </is>
      </c>
      <c r="K22" s="5" t="inlineStr">
        <is>
          <t>Not started</t>
        </is>
      </c>
      <c r="L22" s="5" t="inlineStr"/>
    </row>
    <row r="23">
      <c r="A23" s="5" t="inlineStr">
        <is>
          <t>B6</t>
        </is>
      </c>
      <c r="B23" s="5" t="inlineStr">
        <is>
          <t>B</t>
        </is>
      </c>
      <c r="C23" s="5" t="inlineStr">
        <is>
          <t>Estimated Classified GMV model</t>
        </is>
      </c>
      <c r="D23" s="5" t="inlineStr">
        <is>
          <t>M2</t>
        </is>
      </c>
      <c r="E23" s="5" t="inlineStr">
        <is>
          <t>silver_nl_listing_events</t>
        </is>
      </c>
      <c r="F23" s="5" t="inlineStr">
        <is>
          <t>Weighted signals + -/+35% band, ESTIMATED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5" t="inlineStr">
        <is>
          <t>No</t>
        </is>
      </c>
      <c r="K23" s="5" t="inlineStr">
        <is>
          <t>Not started</t>
        </is>
      </c>
      <c r="L23" s="5" t="inlineStr"/>
    </row>
    <row r="24">
      <c r="A24" s="5" t="inlineStr">
        <is>
          <t>B7</t>
        </is>
      </c>
      <c r="B24" s="5" t="inlineStr">
        <is>
          <t>B</t>
        </is>
      </c>
      <c r="C24" s="5" t="inlineStr">
        <is>
          <t>BOPIS Completed without pickup event</t>
        </is>
      </c>
      <c r="D24" s="5" t="inlineStr">
        <is>
          <t>Lead</t>
        </is>
      </c>
      <c r="E24" s="5" t="inlineStr">
        <is>
          <t>silver_ec_orders; silver_dc_delivery_events</t>
        </is>
      </c>
      <c r="F24" s="5" t="inlineStr">
        <is>
          <t>Treat as fulfilled; collection_unconfirmed</t>
        </is>
      </c>
      <c r="G24" s="5" t="inlineStr">
        <is>
          <t>No</t>
        </is>
      </c>
      <c r="H24" s="5" t="inlineStr">
        <is>
          <t>No</t>
        </is>
      </c>
      <c r="I24" s="5" t="inlineStr">
        <is>
          <t>No</t>
        </is>
      </c>
      <c r="J24" s="5" t="inlineStr">
        <is>
          <t>No</t>
        </is>
      </c>
      <c r="K24" s="5" t="inlineStr">
        <is>
          <t>Not started</t>
        </is>
      </c>
      <c r="L24" s="5" t="inlineStr"/>
    </row>
    <row r="25">
      <c r="A25" s="5" t="inlineStr">
        <is>
          <t>B8</t>
        </is>
      </c>
      <c r="B25" s="5" t="inlineStr">
        <is>
          <t>B</t>
        </is>
      </c>
      <c r="C25" s="5" t="inlineStr">
        <is>
          <t>Seller trust composite score</t>
        </is>
      </c>
      <c r="D25" s="5" t="inlineStr">
        <is>
          <t>M2</t>
        </is>
      </c>
      <c r="E25" s="5" t="inlineStr">
        <is>
          <t>silver_ts_sellers</t>
        </is>
      </c>
      <c r="F25" s="5" t="inlineStr">
        <is>
          <t>Weighted composite -&gt; 5 risk tiers</t>
        </is>
      </c>
      <c r="G25" s="5" t="inlineStr">
        <is>
          <t>No</t>
        </is>
      </c>
      <c r="H25" s="5" t="inlineStr">
        <is>
          <t>No</t>
        </is>
      </c>
      <c r="I25" s="5" t="inlineStr">
        <is>
          <t>No</t>
        </is>
      </c>
      <c r="J25" s="5" t="inlineStr">
        <is>
          <t>No</t>
        </is>
      </c>
      <c r="K25" s="5" t="inlineStr">
        <is>
          <t>Not started</t>
        </is>
      </c>
      <c r="L25" s="5" t="inlineStr"/>
    </row>
  </sheetData>
  <conditionalFormatting sqref="K2:K25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"Done"</formula>
    </cfRule>
  </conditionalFormatting>
  <dataValidations count="5">
    <dataValidation sqref="G2:G25" showDropDown="0" showInputMessage="0" showErrorMessage="0" allowBlank="1" type="list">
      <formula1>=_lists!$C$1:$C$2</formula1>
    </dataValidation>
    <dataValidation sqref="H2:H25" showDropDown="0" showInputMessage="0" showErrorMessage="0" allowBlank="1" type="list">
      <formula1>=_lists!$C$1:$C$2</formula1>
    </dataValidation>
    <dataValidation sqref="I2:I25" showDropDown="0" showInputMessage="0" showErrorMessage="0" allowBlank="1" type="list">
      <formula1>=_lists!$C$1:$C$2</formula1>
    </dataValidation>
    <dataValidation sqref="J2:J25" showDropDown="0" showInputMessage="0" showErrorMessage="0" allowBlank="1" type="list">
      <formula1>=_lists!$C$1:$C$2</formula1>
    </dataValidation>
    <dataValidation sqref="K2:K25" showDropDown="0" showInputMessage="0" showErrorMessage="0" allowBlank="1" type="list">
      <formula1>=_lists!$A$1:$A$4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7" customWidth="1" min="3" max="3"/>
    <col width="52" customWidth="1" min="4" max="4"/>
    <col width="9" customWidth="1" min="5" max="5"/>
    <col width="30" customWidth="1" min="6" max="6"/>
    <col width="13" customWidth="1" min="7" max="7"/>
    <col width="22" customWidth="1" min="8" max="8"/>
  </cols>
  <sheetData>
    <row r="1">
      <c r="A1" s="4" t="inlineStr">
        <is>
          <t>Member</t>
        </is>
      </c>
      <c r="B1" s="4" t="inlineStr">
        <is>
          <t>Day</t>
        </is>
      </c>
      <c r="C1" s="4" t="inlineStr">
        <is>
          <t>Task#</t>
        </is>
      </c>
      <c r="D1" s="4" t="inlineStr">
        <is>
          <t>Title</t>
        </is>
      </c>
      <c r="E1" s="4" t="inlineStr">
        <is>
          <t>Est hrs</t>
        </is>
      </c>
      <c r="F1" s="4" t="inlineStr">
        <is>
          <t>Blocked by</t>
        </is>
      </c>
      <c r="G1" s="4" t="inlineStr">
        <is>
          <t>Status</t>
        </is>
      </c>
      <c r="H1" s="4" t="inlineStr">
        <is>
          <t>Notes</t>
        </is>
      </c>
    </row>
    <row r="2">
      <c r="A2" s="5" t="inlineStr">
        <is>
          <t>Lead</t>
        </is>
      </c>
      <c r="B2" s="5" t="n">
        <v>0</v>
      </c>
      <c r="C2" s="5" t="n">
        <v>1</v>
      </c>
      <c r="D2" s="5" t="inlineStr">
        <is>
          <t>Create NEXAMART_MARTS + confirm M1 Gold</t>
        </is>
      </c>
      <c r="E2" s="5" t="n">
        <v>0.5</v>
      </c>
      <c r="F2" s="5" t="inlineStr"/>
      <c r="G2" s="5" t="inlineStr">
        <is>
          <t>Not started</t>
        </is>
      </c>
      <c r="H2" s="5" t="inlineStr"/>
    </row>
    <row r="3">
      <c r="A3" s="5" t="inlineStr">
        <is>
          <t>Lead</t>
        </is>
      </c>
      <c r="B3" s="5" t="n">
        <v>1</v>
      </c>
      <c r="C3" s="5" t="n">
        <v>2</v>
      </c>
      <c r="D3" s="5" t="inlineStr">
        <is>
          <t>Run 9:30 kickoff; assign anomaly owners</t>
        </is>
      </c>
      <c r="E3" s="5" t="n">
        <v>1.5</v>
      </c>
      <c r="F3" s="5" t="inlineStr"/>
      <c r="G3" s="5" t="inlineStr">
        <is>
          <t>Not started</t>
        </is>
      </c>
      <c r="H3" s="5" t="inlineStr"/>
    </row>
    <row r="4">
      <c r="A4" s="5" t="inlineStr">
        <is>
          <t>Lead</t>
        </is>
      </c>
      <c r="B4" s="5" t="n">
        <v>1</v>
      </c>
      <c r="C4" s="5" t="n">
        <v>3</v>
      </c>
      <c r="D4" s="5" t="inlineStr">
        <is>
          <t>Detection SQL for your anomalies</t>
        </is>
      </c>
      <c r="E4" s="5" t="n">
        <v>3</v>
      </c>
      <c r="F4" s="5" t="inlineStr"/>
      <c r="G4" s="5" t="inlineStr">
        <is>
          <t>Not started</t>
        </is>
      </c>
      <c r="H4" s="5" t="inlineStr"/>
    </row>
    <row r="5">
      <c r="A5" s="5" t="inlineStr">
        <is>
          <t>Lead</t>
        </is>
      </c>
      <c r="B5" s="5" t="n">
        <v>2</v>
      </c>
      <c r="C5" s="5" t="n">
        <v>4</v>
      </c>
      <c r="D5" s="5" t="inlineStr">
        <is>
          <t>Capture before-counts + scope/impact</t>
        </is>
      </c>
      <c r="E5" s="5" t="n">
        <v>2</v>
      </c>
      <c r="F5" s="5" t="inlineStr"/>
      <c r="G5" s="5" t="inlineStr">
        <is>
          <t>Not started</t>
        </is>
      </c>
      <c r="H5" s="5" t="inlineStr"/>
    </row>
    <row r="6">
      <c r="A6" s="5" t="inlineStr">
        <is>
          <t>Lead</t>
        </is>
      </c>
      <c r="B6" s="5" t="n">
        <v>3</v>
      </c>
      <c r="C6" s="5" t="n">
        <v>5</v>
      </c>
      <c r="D6" s="5" t="inlineStr">
        <is>
          <t>A5 (ATP→0), A7 (zero pre-inspection restock)</t>
        </is>
      </c>
      <c r="E6" s="5" t="n">
        <v>2.5</v>
      </c>
      <c r="F6" s="5" t="inlineStr"/>
      <c r="G6" s="5" t="inlineStr">
        <is>
          <t>Not started</t>
        </is>
      </c>
      <c r="H6" s="5" t="inlineStr"/>
    </row>
    <row r="7">
      <c r="A7" s="5" t="inlineStr">
        <is>
          <t>Lead</t>
        </is>
      </c>
      <c r="B7" s="5" t="n">
        <v>3</v>
      </c>
      <c r="C7" s="5" t="n">
        <v>6</v>
      </c>
      <c r="D7" s="5" t="inlineStr">
        <is>
          <t>A8 snapshot reconstruction (1–7 Aug, stores 3/7/12)</t>
        </is>
      </c>
      <c r="E7" s="5" t="n">
        <v>3</v>
      </c>
      <c r="F7" s="5" t="inlineStr"/>
      <c r="G7" s="5" t="inlineStr">
        <is>
          <t>Not started</t>
        </is>
      </c>
      <c r="H7" s="5" t="inlineStr"/>
    </row>
    <row r="8">
      <c r="A8" s="5" t="inlineStr">
        <is>
          <t>Lead</t>
        </is>
      </c>
      <c r="B8" s="5" t="n">
        <v>3</v>
      </c>
      <c r="C8" s="5" t="n">
        <v>7</v>
      </c>
      <c r="D8" s="5" t="inlineStr">
        <is>
          <t>A14 delivery-clock fix (+36h; &gt;72h escalate)</t>
        </is>
      </c>
      <c r="E8" s="5" t="n">
        <v>2</v>
      </c>
      <c r="F8" s="5" t="inlineStr"/>
      <c r="G8" s="5" t="inlineStr">
        <is>
          <t>Not started</t>
        </is>
      </c>
      <c r="H8" s="5" t="inlineStr"/>
    </row>
    <row r="9">
      <c r="A9" s="5" t="inlineStr">
        <is>
          <t>Lead</t>
        </is>
      </c>
      <c r="B9" s="5" t="n">
        <v>4</v>
      </c>
      <c r="C9" s="5" t="n">
        <v>8</v>
      </c>
      <c r="D9" s="5" t="inlineStr">
        <is>
          <t>B1 attribution (102 orders), B2 refund period, B3 null-ref, B7 BOPIS</t>
        </is>
      </c>
      <c r="E9" s="5" t="n">
        <v>4</v>
      </c>
      <c r="F9" s="5" t="inlineStr"/>
      <c r="G9" s="5" t="inlineStr">
        <is>
          <t>Not started</t>
        </is>
      </c>
      <c r="H9" s="5" t="inlineStr"/>
    </row>
    <row r="10">
      <c r="A10" s="5" t="inlineStr">
        <is>
          <t>Lead</t>
        </is>
      </c>
      <c r="B10" s="5" t="n">
        <v>4</v>
      </c>
      <c r="C10" s="5" t="n">
        <v>9</v>
      </c>
      <c r="D10" s="5" t="inlineStr">
        <is>
          <t>Write corrected Silver back + idempotency asserts</t>
        </is>
      </c>
      <c r="E10" s="5" t="n">
        <v>2</v>
      </c>
      <c r="F10" s="5" t="inlineStr"/>
      <c r="G10" s="5" t="inlineStr">
        <is>
          <t>Not started</t>
        </is>
      </c>
      <c r="H10" s="5" t="inlineStr"/>
    </row>
    <row r="11">
      <c r="A11" s="5" t="inlineStr">
        <is>
          <t>Lead</t>
        </is>
      </c>
      <c r="B11" s="5" t="n">
        <v>5</v>
      </c>
      <c r="C11" s="5" t="n">
        <v>10</v>
      </c>
      <c r="D11" s="5" t="inlineStr">
        <is>
          <t>Rebuild your facts (fulfilment, inventory txn, store snapshot, classified snapshot, clickstream, complaint)</t>
        </is>
      </c>
      <c r="E11" s="5" t="n">
        <v>4</v>
      </c>
      <c r="F11" s="5" t="inlineStr">
        <is>
          <t>member dim rebuilds (M3 dim_product, M2 dim_customer) where your facts join them</t>
        </is>
      </c>
      <c r="G11" s="5" t="inlineStr">
        <is>
          <t>Not started</t>
        </is>
      </c>
      <c r="H11" s="5" t="inlineStr"/>
    </row>
    <row r="12">
      <c r="A12" s="5" t="inlineStr">
        <is>
          <t>Lead</t>
        </is>
      </c>
      <c r="B12" s="5" t="n">
        <v>6</v>
      </c>
      <c r="C12" s="5" t="n">
        <v>11</v>
      </c>
      <c r="D12" s="5" t="inlineStr">
        <is>
          <t>Orchestrate the 10-check suite; own checks 1,2,5,7,10</t>
        </is>
      </c>
      <c r="E12" s="5" t="n">
        <v>3</v>
      </c>
      <c r="F12" s="5" t="inlineStr"/>
      <c r="G12" s="5" t="inlineStr">
        <is>
          <t>Not started</t>
        </is>
      </c>
      <c r="H12" s="5" t="inlineStr"/>
    </row>
    <row r="13">
      <c r="A13" s="5" t="inlineStr">
        <is>
          <t>Lead</t>
        </is>
      </c>
      <c r="B13" s="5" t="n">
        <v>7</v>
      </c>
      <c r="C13" s="5" t="n">
        <v>12</v>
      </c>
      <c r="D13" s="5" t="inlineStr">
        <is>
          <t>Build your 3 views + review all 28 for certainty/segregation</t>
        </is>
      </c>
      <c r="E13" s="5" t="n">
        <v>3</v>
      </c>
      <c r="F13" s="5" t="inlineStr"/>
      <c r="G13" s="5" t="inlineStr">
        <is>
          <t>Not started</t>
        </is>
      </c>
      <c r="H13" s="5" t="inlineStr"/>
    </row>
    <row r="14">
      <c r="A14" s="5" t="inlineStr">
        <is>
          <t>Lead</t>
        </is>
      </c>
      <c r="B14" s="5" t="n">
        <v>8</v>
      </c>
      <c r="C14" s="5" t="n">
        <v>13</v>
      </c>
      <c r="D14" s="5" t="inlineStr">
        <is>
          <t>GSV→NCR waterfall + 7-team reconciliation narrative</t>
        </is>
      </c>
      <c r="E14" s="5" t="n">
        <v>4</v>
      </c>
      <c r="F14" s="5" t="inlineStr"/>
      <c r="G14" s="5" t="inlineStr">
        <is>
          <t>Not started</t>
        </is>
      </c>
      <c r="H14" s="5" t="inlineStr"/>
    </row>
    <row r="15">
      <c r="A15" s="5" t="inlineStr">
        <is>
          <t>Lead</t>
        </is>
      </c>
      <c r="B15" s="5" t="n">
        <v>9</v>
      </c>
      <c r="C15" s="5" t="n">
        <v>14</v>
      </c>
      <c r="D15" s="5" t="inlineStr">
        <is>
          <t>Write Exec summary + S5 Conclusion; assemble all members' sections</t>
        </is>
      </c>
      <c r="E15" s="5" t="n">
        <v>4</v>
      </c>
      <c r="F15" s="5" t="inlineStr"/>
      <c r="G15" s="5" t="inlineStr">
        <is>
          <t>Not started</t>
        </is>
      </c>
      <c r="H15" s="5" t="inlineStr"/>
    </row>
    <row r="16">
      <c r="A16" s="5" t="inlineStr">
        <is>
          <t>Lead</t>
        </is>
      </c>
      <c r="B16" s="5" t="n">
        <v>10</v>
      </c>
      <c r="C16" s="5" t="n">
        <v>15</v>
      </c>
      <c r="D16" s="5" t="inlineStr">
        <is>
          <t>Export PDF; build submission ZIP; final checks</t>
        </is>
      </c>
      <c r="E16" s="5" t="n">
        <v>2</v>
      </c>
      <c r="F16" s="5" t="inlineStr"/>
      <c r="G16" s="5" t="inlineStr">
        <is>
          <t>Not started</t>
        </is>
      </c>
      <c r="H16" s="5" t="inlineStr"/>
    </row>
    <row r="17">
      <c r="A17" s="5" t="inlineStr">
        <is>
          <t>M2</t>
        </is>
      </c>
      <c r="B17" s="5" t="n">
        <v>1</v>
      </c>
      <c r="C17" s="5" t="n">
        <v>1</v>
      </c>
      <c r="D17" s="5" t="inlineStr">
        <is>
          <t>Detection SQL for A11, B5, B6, B8</t>
        </is>
      </c>
      <c r="E17" s="5" t="n">
        <v>3</v>
      </c>
      <c r="F17" s="5" t="inlineStr"/>
      <c r="G17" s="5" t="inlineStr">
        <is>
          <t>Not started</t>
        </is>
      </c>
      <c r="H17" s="5" t="inlineStr"/>
    </row>
    <row r="18">
      <c r="A18" s="5" t="inlineStr">
        <is>
          <t>M2</t>
        </is>
      </c>
      <c r="B18" s="5" t="n">
        <v>2</v>
      </c>
      <c r="C18" s="5" t="n">
        <v>2</v>
      </c>
      <c r="D18" s="5" t="inlineStr">
        <is>
          <t>Confirm A11 collision (Sarah Chen) + lock B6 formula + B8 weights</t>
        </is>
      </c>
      <c r="E18" s="5" t="n">
        <v>2</v>
      </c>
      <c r="F18" s="5" t="inlineStr"/>
      <c r="G18" s="5" t="inlineStr">
        <is>
          <t>Not started</t>
        </is>
      </c>
      <c r="H18" s="5" t="inlineStr"/>
    </row>
    <row r="19">
      <c r="A19" s="5" t="inlineStr">
        <is>
          <t>M2</t>
        </is>
      </c>
      <c r="B19" s="5" t="n">
        <v>3</v>
      </c>
      <c r="C19" s="5" t="n">
        <v>3</v>
      </c>
      <c r="D19" s="5" t="inlineStr">
        <is>
          <t>A11 rekey guests to GUEST-{session}</t>
        </is>
      </c>
      <c r="E19" s="5" t="n">
        <v>2.5</v>
      </c>
      <c r="F19" s="5" t="inlineStr"/>
      <c r="G19" s="5" t="inlineStr">
        <is>
          <t>Not started</t>
        </is>
      </c>
      <c r="H19" s="5" t="inlineStr"/>
    </row>
    <row r="20">
      <c r="A20" s="5" t="inlineStr">
        <is>
          <t>M2</t>
        </is>
      </c>
      <c r="B20" s="5" t="n">
        <v>4</v>
      </c>
      <c r="C20" s="5" t="n">
        <v>4</v>
      </c>
      <c r="D20" s="5" t="inlineStr">
        <is>
          <t>B5 identity merge (≥0.90), B6 estimated GMV, B8 trust tiers</t>
        </is>
      </c>
      <c r="E20" s="5" t="n">
        <v>5</v>
      </c>
      <c r="F20" s="5" t="inlineStr">
        <is>
          <t>Lead A12 relisting links (exclude relisted originals from B6 GMV)</t>
        </is>
      </c>
      <c r="G20" s="5" t="inlineStr">
        <is>
          <t>Not started</t>
        </is>
      </c>
      <c r="H20" s="5" t="inlineStr"/>
    </row>
    <row r="21">
      <c r="A21" s="5" t="inlineStr">
        <is>
          <t>M2</t>
        </is>
      </c>
      <c r="B21" s="5" t="n">
        <v>4</v>
      </c>
      <c r="C21" s="5" t="n">
        <v>5</v>
      </c>
      <c r="D21" s="5" t="inlineStr">
        <is>
          <t>Write corrected silver_customer_master + silver_ts_sellers; idempotency asserts</t>
        </is>
      </c>
      <c r="E21" s="5" t="n">
        <v>1.5</v>
      </c>
      <c r="F21" s="5" t="inlineStr"/>
      <c r="G21" s="5" t="inlineStr">
        <is>
          <t>Not started</t>
        </is>
      </c>
      <c r="H21" s="5" t="inlineStr"/>
    </row>
    <row r="22">
      <c r="A22" s="5" t="inlineStr">
        <is>
          <t>M2</t>
        </is>
      </c>
      <c r="B22" s="5" t="n">
        <v>5</v>
      </c>
      <c r="C22" s="5" t="n">
        <v>6</v>
      </c>
      <c r="D22" s="5" t="inlineStr">
        <is>
          <t>Rebuild dim_customer (SCD2) + identity bridge, dim_seller_risk_tier, seller-perf fact</t>
        </is>
      </c>
      <c r="E22" s="5" t="n">
        <v>3.5</v>
      </c>
      <c r="F22" s="5" t="inlineStr"/>
      <c r="G22" s="5" t="inlineStr">
        <is>
          <t>Not started</t>
        </is>
      </c>
      <c r="H22" s="5" t="inlineStr"/>
    </row>
    <row r="23">
      <c r="A23" s="5" t="inlineStr">
        <is>
          <t>M2</t>
        </is>
      </c>
      <c r="B23" s="5" t="n">
        <v>6</v>
      </c>
      <c r="C23" s="5" t="n">
        <v>7</v>
      </c>
      <c r="D23" s="5" t="inlineStr">
        <is>
          <t>Own checks 6 + 9 (certainty completeness + segregation)</t>
        </is>
      </c>
      <c r="E23" s="5" t="n">
        <v>1.5</v>
      </c>
      <c r="F23" s="5" t="inlineStr"/>
      <c r="G23" s="5" t="inlineStr">
        <is>
          <t>Not started</t>
        </is>
      </c>
      <c r="H23" s="5" t="inlineStr"/>
    </row>
    <row r="24">
      <c r="A24" s="5" t="inlineStr">
        <is>
          <t>M2</t>
        </is>
      </c>
      <c r="B24" s="5" t="n">
        <v>7</v>
      </c>
      <c r="C24" s="5" t="n">
        <v>8</v>
      </c>
      <c r="D24" s="5" t="inlineStr">
        <is>
          <t>Build your 8 NexaLocal/seller + GMV views</t>
        </is>
      </c>
      <c r="E24" s="5" t="n">
        <v>4</v>
      </c>
      <c r="F24" s="5" t="inlineStr"/>
      <c r="G24" s="5" t="inlineStr">
        <is>
          <t>Not started</t>
        </is>
      </c>
      <c r="H24" s="5" t="inlineStr"/>
    </row>
    <row r="25">
      <c r="A25" s="5" t="inlineStr">
        <is>
          <t>M2</t>
        </is>
      </c>
      <c r="B25" s="5" t="n">
        <v>8</v>
      </c>
      <c r="C25" s="5" t="n">
        <v>9</v>
      </c>
      <c r="D25" s="5" t="inlineStr">
        <is>
          <t>NexaLocal &amp; Seller Quality page</t>
        </is>
      </c>
      <c r="E25" s="5" t="n">
        <v>3</v>
      </c>
      <c r="F25" s="5" t="inlineStr"/>
      <c r="G25" s="5" t="inlineStr">
        <is>
          <t>Not started</t>
        </is>
      </c>
      <c r="H25" s="5" t="inlineStr"/>
    </row>
    <row r="26">
      <c r="A26" s="5" t="inlineStr">
        <is>
          <t>M2</t>
        </is>
      </c>
      <c r="B26" s="5" t="n">
        <v>9</v>
      </c>
      <c r="C26" s="5" t="n">
        <v>10</v>
      </c>
      <c r="D26" s="5" t="inlineStr">
        <is>
          <t>Write S1 (A11, B5, B6, B8) + S4 estimated-GMV note</t>
        </is>
      </c>
      <c r="E26" s="5" t="n">
        <v>3</v>
      </c>
      <c r="F26" s="5" t="inlineStr"/>
      <c r="G26" s="5" t="inlineStr">
        <is>
          <t>Not started</t>
        </is>
      </c>
      <c r="H26" s="5" t="inlineStr"/>
    </row>
    <row r="27">
      <c r="A27" s="5" t="inlineStr">
        <is>
          <t>M3</t>
        </is>
      </c>
      <c r="B27" s="5" t="n">
        <v>1</v>
      </c>
      <c r="C27" s="5" t="n">
        <v>1</v>
      </c>
      <c r="D27" s="5" t="inlineStr">
        <is>
          <t>Detection SQL for A9 + B4</t>
        </is>
      </c>
      <c r="E27" s="5" t="n">
        <v>2</v>
      </c>
      <c r="F27" s="5" t="inlineStr"/>
      <c r="G27" s="5" t="inlineStr">
        <is>
          <t>Not started</t>
        </is>
      </c>
      <c r="H27" s="5" t="inlineStr"/>
    </row>
    <row r="28">
      <c r="A28" s="5" t="inlineStr">
        <is>
          <t>M3</t>
        </is>
      </c>
      <c r="B28" s="5" t="n">
        <v>2</v>
      </c>
      <c r="C28" s="5" t="n">
        <v>2</v>
      </c>
      <c r="D28" s="5" t="inlineStr">
        <is>
          <t>Confirm A9; define B4 thresholds (≥0.75 / 0.65–0.75 / &lt;0.65)</t>
        </is>
      </c>
      <c r="E28" s="5" t="n">
        <v>1.5</v>
      </c>
      <c r="F28" s="5" t="inlineStr"/>
      <c r="G28" s="5" t="inlineStr">
        <is>
          <t>Not started</t>
        </is>
      </c>
      <c r="H28" s="5" t="inlineStr"/>
    </row>
    <row r="29">
      <c r="A29" s="5" t="inlineStr">
        <is>
          <t>M3</t>
        </is>
      </c>
      <c r="B29" s="5" t="n">
        <v>3</v>
      </c>
      <c r="C29" s="5" t="n">
        <v>3</v>
      </c>
      <c r="D29" s="5" t="inlineStr">
        <is>
          <t>A9 canonical product rule (catalogue wins)</t>
        </is>
      </c>
      <c r="E29" s="5" t="n">
        <v>2</v>
      </c>
      <c r="F29" s="5" t="inlineStr"/>
      <c r="G29" s="5" t="inlineStr">
        <is>
          <t>Not started</t>
        </is>
      </c>
      <c r="H29" s="5" t="inlineStr"/>
    </row>
    <row r="30">
      <c r="A30" s="5" t="inlineStr">
        <is>
          <t>M3</t>
        </is>
      </c>
      <c r="B30" s="5" t="n">
        <v>4</v>
      </c>
      <c r="C30" s="5" t="n">
        <v>4</v>
      </c>
      <c r="D30" s="5" t="inlineStr">
        <is>
          <t>B4 match listings; write corrected silver_product_master</t>
        </is>
      </c>
      <c r="E30" s="5" t="n">
        <v>3</v>
      </c>
      <c r="F30" s="5" t="inlineStr"/>
      <c r="G30" s="5" t="inlineStr">
        <is>
          <t>Not started</t>
        </is>
      </c>
      <c r="H30" s="5" t="inlineStr"/>
    </row>
    <row r="31">
      <c r="A31" s="5" t="inlineStr">
        <is>
          <t>M3</t>
        </is>
      </c>
      <c r="B31" s="5" t="n">
        <v>5</v>
      </c>
      <c r="C31" s="5" t="n">
        <v>5</v>
      </c>
      <c r="D31" s="5" t="inlineStr">
        <is>
          <t>Rebuild dim_product (SCD2)</t>
        </is>
      </c>
      <c r="E31" s="5" t="n">
        <v>2.5</v>
      </c>
      <c r="F31" s="5" t="inlineStr"/>
      <c r="G31" s="5" t="inlineStr">
        <is>
          <t>Not started</t>
        </is>
      </c>
      <c r="H31" s="5" t="inlineStr"/>
    </row>
    <row r="32">
      <c r="A32" s="5" t="inlineStr">
        <is>
          <t>M3</t>
        </is>
      </c>
      <c r="B32" s="5" t="n">
        <v>6</v>
      </c>
      <c r="C32" s="5" t="n">
        <v>6</v>
      </c>
      <c r="D32" s="5" t="inlineStr">
        <is>
          <t>Check 3 grain on product-joined facts</t>
        </is>
      </c>
      <c r="E32" s="5" t="n">
        <v>1</v>
      </c>
      <c r="F32" s="5" t="inlineStr"/>
      <c r="G32" s="5" t="inlineStr">
        <is>
          <t>Not started</t>
        </is>
      </c>
      <c r="H32" s="5" t="inlineStr"/>
    </row>
    <row r="33">
      <c r="A33" s="5" t="inlineStr">
        <is>
          <t>M3</t>
        </is>
      </c>
      <c r="B33" s="5" t="n">
        <v>7</v>
      </c>
      <c r="C33" s="5" t="n">
        <v>7</v>
      </c>
      <c r="D33" s="5" t="inlineStr">
        <is>
          <t>vw_open_box_conversion_rate</t>
        </is>
      </c>
      <c r="E33" s="5" t="n">
        <v>1.5</v>
      </c>
      <c r="F33" s="5" t="inlineStr"/>
      <c r="G33" s="5" t="inlineStr">
        <is>
          <t>Not started</t>
        </is>
      </c>
      <c r="H33" s="5" t="inlineStr"/>
    </row>
    <row r="34">
      <c r="A34" s="5" t="inlineStr">
        <is>
          <t>M3</t>
        </is>
      </c>
      <c r="B34" s="5" t="n">
        <v>9</v>
      </c>
      <c r="C34" s="5" t="n">
        <v>8</v>
      </c>
      <c r="D34" s="5" t="inlineStr">
        <is>
          <t>Write S1 (A9, B4) + S2 dim_product rebuild note</t>
        </is>
      </c>
      <c r="E34" s="5" t="n">
        <v>2</v>
      </c>
      <c r="F34" s="5" t="inlineStr"/>
      <c r="G34" s="5" t="inlineStr">
        <is>
          <t>Not started</t>
        </is>
      </c>
      <c r="H34" s="5" t="inlineStr"/>
    </row>
    <row r="35">
      <c r="A35" s="5" t="inlineStr">
        <is>
          <t>M4</t>
        </is>
      </c>
      <c r="B35" s="5" t="n">
        <v>1</v>
      </c>
      <c r="C35" s="5" t="n">
        <v>1</v>
      </c>
      <c r="D35" s="5" t="inlineStr">
        <is>
          <t>Detection SQL for A6 + A10</t>
        </is>
      </c>
      <c r="E35" s="5" t="n">
        <v>2</v>
      </c>
      <c r="F35" s="5" t="inlineStr"/>
      <c r="G35" s="5" t="inlineStr">
        <is>
          <t>Not started</t>
        </is>
      </c>
      <c r="H35" s="5" t="inlineStr"/>
    </row>
    <row r="36">
      <c r="A36" s="5" t="inlineStr">
        <is>
          <t>M4</t>
        </is>
      </c>
      <c r="B36" s="5" t="n">
        <v>2</v>
      </c>
      <c r="C36" s="5" t="n">
        <v>2</v>
      </c>
      <c r="D36" s="5" t="inlineStr">
        <is>
          <t>Confirm counts; note A7 vs A10 predicate distinction</t>
        </is>
      </c>
      <c r="E36" s="5" t="n">
        <v>1</v>
      </c>
      <c r="F36" s="5" t="inlineStr"/>
      <c r="G36" s="5" t="inlineStr">
        <is>
          <t>Not started</t>
        </is>
      </c>
      <c r="H36" s="5" t="inlineStr"/>
    </row>
    <row r="37">
      <c r="A37" s="5" t="inlineStr">
        <is>
          <t>M4</t>
        </is>
      </c>
      <c r="B37" s="5" t="n">
        <v>3</v>
      </c>
      <c r="C37" s="5" t="n">
        <v>3</v>
      </c>
      <c r="D37" s="5" t="inlineStr">
        <is>
          <t>A6 (qty→0 + oversell flag), A10 (correct condition to open-box)</t>
        </is>
      </c>
      <c r="E37" s="5" t="n">
        <v>3</v>
      </c>
      <c r="F37" s="5" t="inlineStr"/>
      <c r="G37" s="5" t="inlineStr">
        <is>
          <t>Not started</t>
        </is>
      </c>
      <c r="H37" s="5" t="inlineStr"/>
    </row>
    <row r="38">
      <c r="A38" s="5" t="inlineStr">
        <is>
          <t>M4</t>
        </is>
      </c>
      <c r="B38" s="5" t="n">
        <v>4</v>
      </c>
      <c r="C38" s="5" t="n">
        <v>4</v>
      </c>
      <c r="D38" s="5" t="inlineStr">
        <is>
          <t>Write corrected silver_si_inventory_snapshots + silver_rr_return_receipts</t>
        </is>
      </c>
      <c r="E38" s="5" t="n">
        <v>1.5</v>
      </c>
      <c r="F38" s="5" t="inlineStr"/>
      <c r="G38" s="5" t="inlineStr">
        <is>
          <t>Not started</t>
        </is>
      </c>
      <c r="H38" s="5" t="inlineStr"/>
    </row>
    <row r="39">
      <c r="A39" s="5" t="inlineStr">
        <is>
          <t>M4</t>
        </is>
      </c>
      <c r="B39" s="5" t="n">
        <v>5</v>
      </c>
      <c r="C39" s="5" t="n">
        <v>5</v>
      </c>
      <c r="D39" s="5" t="inlineStr">
        <is>
          <t>Rebuild dim_store + fact_warehouse_inventory_snapshot</t>
        </is>
      </c>
      <c r="E39" s="5" t="n">
        <v>2.5</v>
      </c>
      <c r="F39" s="5" t="inlineStr">
        <is>
          <t>Lead's A5/A7/A8 inventory corrections (shared inventory Silver)</t>
        </is>
      </c>
      <c r="G39" s="5" t="inlineStr">
        <is>
          <t>Not started</t>
        </is>
      </c>
      <c r="H39" s="5" t="inlineStr"/>
    </row>
    <row r="40">
      <c r="A40" s="5" t="inlineStr">
        <is>
          <t>M4</t>
        </is>
      </c>
      <c r="B40" s="5" t="n">
        <v>6</v>
      </c>
      <c r="C40" s="5" t="n">
        <v>6</v>
      </c>
      <c r="D40" s="5" t="inlineStr">
        <is>
          <t>Checks 4 (net=gross−disc−return) + 8 (inventory balance reconciliation)</t>
        </is>
      </c>
      <c r="E40" s="5" t="n">
        <v>2.5</v>
      </c>
      <c r="F40" s="5" t="inlineStr"/>
      <c r="G40" s="5" t="inlineStr">
        <is>
          <t>Not started</t>
        </is>
      </c>
      <c r="H40" s="5" t="inlineStr"/>
    </row>
    <row r="41">
      <c r="A41" s="5" t="inlineStr">
        <is>
          <t>M4</t>
        </is>
      </c>
      <c r="B41" s="5" t="n">
        <v>7</v>
      </c>
      <c r="C41" s="5" t="n">
        <v>7</v>
      </c>
      <c r="D41" s="5" t="inlineStr">
        <is>
          <t>Build your 6 inventory + BORIS views</t>
        </is>
      </c>
      <c r="E41" s="5" t="n">
        <v>3.5</v>
      </c>
      <c r="F41" s="5" t="inlineStr"/>
      <c r="G41" s="5" t="inlineStr">
        <is>
          <t>Not started</t>
        </is>
      </c>
      <c r="H41" s="5" t="inlineStr"/>
    </row>
    <row r="42">
      <c r="A42" s="5" t="inlineStr">
        <is>
          <t>M4</t>
        </is>
      </c>
      <c r="B42" s="5" t="n">
        <v>8</v>
      </c>
      <c r="C42" s="5" t="n">
        <v>8</v>
      </c>
      <c r="D42" s="5" t="inlineStr">
        <is>
          <t>Inventory Health page</t>
        </is>
      </c>
      <c r="E42" s="5" t="n">
        <v>3</v>
      </c>
      <c r="F42" s="5" t="inlineStr"/>
      <c r="G42" s="5" t="inlineStr">
        <is>
          <t>Not started</t>
        </is>
      </c>
      <c r="H42" s="5" t="inlineStr"/>
    </row>
    <row r="43">
      <c r="A43" s="5" t="inlineStr">
        <is>
          <t>M4</t>
        </is>
      </c>
      <c r="B43" s="5" t="n">
        <v>9</v>
      </c>
      <c r="C43" s="5" t="n">
        <v>9</v>
      </c>
      <c r="D43" s="5" t="inlineStr">
        <is>
          <t>Write S1 (A6, A10) + S2 inventory rebuild + S3 inventory checks</t>
        </is>
      </c>
      <c r="E43" s="5" t="n">
        <v>2</v>
      </c>
      <c r="F43" s="5" t="inlineStr"/>
      <c r="G43" s="5" t="inlineStr">
        <is>
          <t>Not started</t>
        </is>
      </c>
      <c r="H43" s="5" t="inlineStr"/>
    </row>
    <row r="44">
      <c r="A44" s="5" t="inlineStr">
        <is>
          <t>M5</t>
        </is>
      </c>
      <c r="B44" s="5" t="n">
        <v>1</v>
      </c>
      <c r="C44" s="5" t="n">
        <v>1</v>
      </c>
      <c r="D44" s="5" t="inlineStr">
        <is>
          <t>Detection SQL for A1, A2, A3</t>
        </is>
      </c>
      <c r="E44" s="5" t="n">
        <v>3</v>
      </c>
      <c r="F44" s="5" t="inlineStr"/>
      <c r="G44" s="5" t="inlineStr">
        <is>
          <t>Not started</t>
        </is>
      </c>
      <c r="H44" s="5" t="inlineStr"/>
    </row>
    <row r="45">
      <c r="A45" s="5" t="inlineStr">
        <is>
          <t>M5</t>
        </is>
      </c>
      <c r="B45" s="5" t="n">
        <v>2</v>
      </c>
      <c r="C45" s="5" t="n">
        <v>2</v>
      </c>
      <c r="D45" s="5" t="inlineStr">
        <is>
          <t>Confirm A1/A2 counts + record the 94-vs-178 defence</t>
        </is>
      </c>
      <c r="E45" s="5" t="n">
        <v>2</v>
      </c>
      <c r="F45" s="5" t="inlineStr"/>
      <c r="G45" s="5" t="inlineStr">
        <is>
          <t>Not started</t>
        </is>
      </c>
      <c r="H45" s="5" t="inlineStr"/>
    </row>
    <row r="46">
      <c r="A46" s="5" t="inlineStr">
        <is>
          <t>M5</t>
        </is>
      </c>
      <c r="B46" s="5" t="n">
        <v>3</v>
      </c>
      <c r="C46" s="5" t="n">
        <v>3</v>
      </c>
      <c r="D46" s="5" t="inlineStr">
        <is>
          <t>A1 (zero cancelled revenue), A2 (flag reversal-required)</t>
        </is>
      </c>
      <c r="E46" s="5" t="n">
        <v>2.5</v>
      </c>
      <c r="F46" s="5" t="inlineStr"/>
      <c r="G46" s="5" t="inlineStr">
        <is>
          <t>Not started</t>
        </is>
      </c>
      <c r="H46" s="5" t="inlineStr"/>
    </row>
    <row r="47">
      <c r="A47" s="5" t="inlineStr">
        <is>
          <t>M5</t>
        </is>
      </c>
      <c r="B47" s="5" t="n">
        <v>3</v>
      </c>
      <c r="C47" s="5" t="n">
        <v>4</v>
      </c>
      <c r="D47" s="5" t="inlineStr">
        <is>
          <t>A3 normalise to tax-exclusive basis</t>
        </is>
      </c>
      <c r="E47" s="5" t="n">
        <v>2</v>
      </c>
      <c r="F47" s="5" t="inlineStr"/>
      <c r="G47" s="5" t="inlineStr">
        <is>
          <t>Not started</t>
        </is>
      </c>
      <c r="H47" s="5" t="inlineStr"/>
    </row>
    <row r="48">
      <c r="A48" s="5" t="inlineStr">
        <is>
          <t>M5</t>
        </is>
      </c>
      <c r="B48" s="5" t="n">
        <v>4</v>
      </c>
      <c r="C48" s="5" t="n">
        <v>5</v>
      </c>
      <c r="D48" s="5" t="inlineStr">
        <is>
          <t>Write corrected silver_ec_orders + silver_pos_transactions + returns</t>
        </is>
      </c>
      <c r="E48" s="5" t="n">
        <v>1.5</v>
      </c>
      <c r="F48" s="5" t="inlineStr">
        <is>
          <t>M2 (A11) + Lead (B1) corrections to silver_ec_orders must be merged first</t>
        </is>
      </c>
      <c r="G48" s="5" t="inlineStr">
        <is>
          <t>Not started</t>
        </is>
      </c>
      <c r="H48" s="5" t="inlineStr"/>
    </row>
    <row r="49">
      <c r="A49" s="5" t="inlineStr">
        <is>
          <t>M5</t>
        </is>
      </c>
      <c r="B49" s="5" t="n">
        <v>5</v>
      </c>
      <c r="C49" s="5" t="n">
        <v>6</v>
      </c>
      <c r="D49" s="5" t="inlineStr">
        <is>
          <t>Rebuild fact_ecommerce_order_line (keystone) + store-sale + return facts</t>
        </is>
      </c>
      <c r="E49" s="5" t="n">
        <v>3.5</v>
      </c>
      <c r="F49" s="5" t="inlineStr">
        <is>
          <t>M2 dim_customer rebuild (fact_ecommerce_order_line joins it)</t>
        </is>
      </c>
      <c r="G49" s="5" t="inlineStr">
        <is>
          <t>Not started</t>
        </is>
      </c>
      <c r="H49" s="5" t="inlineStr"/>
    </row>
    <row r="50">
      <c r="A50" s="5" t="inlineStr">
        <is>
          <t>M5</t>
        </is>
      </c>
      <c r="B50" s="5" t="n">
        <v>6</v>
      </c>
      <c r="C50" s="5" t="n">
        <v>7</v>
      </c>
      <c r="D50" s="5" t="inlineStr">
        <is>
          <t>Check 4 additive sanity (net=gross−disc−return)</t>
        </is>
      </c>
      <c r="E50" s="5" t="n">
        <v>1</v>
      </c>
      <c r="F50" s="5" t="inlineStr"/>
      <c r="G50" s="5" t="inlineStr">
        <is>
          <t>Not started</t>
        </is>
      </c>
      <c r="H50" s="5" t="inlineStr"/>
    </row>
    <row r="51">
      <c r="A51" s="5" t="inlineStr">
        <is>
          <t>M5</t>
        </is>
      </c>
      <c r="B51" s="5" t="n">
        <v>7</v>
      </c>
      <c r="C51" s="5" t="n">
        <v>8</v>
      </c>
      <c r="D51" s="5" t="inlineStr">
        <is>
          <t>Build the 6 Finance KPI views</t>
        </is>
      </c>
      <c r="E51" s="5" t="n">
        <v>4</v>
      </c>
      <c r="F51" s="5" t="inlineStr"/>
      <c r="G51" s="5" t="inlineStr">
        <is>
          <t>Not started</t>
        </is>
      </c>
      <c r="H51" s="5" t="inlineStr"/>
    </row>
    <row r="52">
      <c r="A52" s="5" t="inlineStr">
        <is>
          <t>M5</t>
        </is>
      </c>
      <c r="B52" s="5" t="n">
        <v>8</v>
      </c>
      <c r="C52" s="5" t="n">
        <v>9</v>
      </c>
      <c r="D52" s="5" t="inlineStr">
        <is>
          <t>Sales by Channel page</t>
        </is>
      </c>
      <c r="E52" s="5" t="n">
        <v>3</v>
      </c>
      <c r="F52" s="5" t="inlineStr"/>
      <c r="G52" s="5" t="inlineStr">
        <is>
          <t>Not started</t>
        </is>
      </c>
      <c r="H52" s="5" t="inlineStr"/>
    </row>
    <row r="53">
      <c r="A53" s="5" t="inlineStr">
        <is>
          <t>M5</t>
        </is>
      </c>
      <c r="B53" s="5" t="n">
        <v>9</v>
      </c>
      <c r="C53" s="5" t="n">
        <v>10</v>
      </c>
      <c r="D53" s="5" t="inlineStr">
        <is>
          <t>Write S1 (A1, A2, A3) + S4 GSV→NCR detail</t>
        </is>
      </c>
      <c r="E53" s="5" t="n">
        <v>2.5</v>
      </c>
      <c r="F53" s="5" t="inlineStr"/>
      <c r="G53" s="5" t="inlineStr">
        <is>
          <t>Not started</t>
        </is>
      </c>
      <c r="H53" s="5" t="inlineStr"/>
    </row>
    <row r="54">
      <c r="A54" s="5" t="inlineStr">
        <is>
          <t>M6</t>
        </is>
      </c>
      <c r="B54" s="5" t="n">
        <v>1</v>
      </c>
      <c r="C54" s="5" t="n">
        <v>1</v>
      </c>
      <c r="D54" s="5" t="inlineStr">
        <is>
          <t>Detection SQL for A4, A13, A15, A16</t>
        </is>
      </c>
      <c r="E54" s="5" t="n">
        <v>3</v>
      </c>
      <c r="F54" s="5" t="inlineStr"/>
      <c r="G54" s="5" t="inlineStr">
        <is>
          <t>Not started</t>
        </is>
      </c>
      <c r="H54" s="5" t="inlineStr"/>
    </row>
    <row r="55">
      <c r="A55" s="5" t="inlineStr">
        <is>
          <t>M6</t>
        </is>
      </c>
      <c r="B55" s="5" t="n">
        <v>2</v>
      </c>
      <c r="C55" s="5" t="n">
        <v>2</v>
      </c>
      <c r="D55" s="5" t="inlineStr">
        <is>
          <t>Confirm counts + layer A13 multi-signal predicate</t>
        </is>
      </c>
      <c r="E55" s="5" t="n">
        <v>2</v>
      </c>
      <c r="F55" s="5" t="inlineStr"/>
      <c r="G55" s="5" t="inlineStr">
        <is>
          <t>Not started</t>
        </is>
      </c>
      <c r="H55" s="5" t="inlineStr"/>
    </row>
    <row r="56">
      <c r="A56" s="5" t="inlineStr">
        <is>
          <t>M6</t>
        </is>
      </c>
      <c r="B56" s="5" t="n">
        <v>3</v>
      </c>
      <c r="C56" s="5" t="n">
        <v>3</v>
      </c>
      <c r="D56" s="5" t="inlineStr">
        <is>
          <t>A4 (relabel ESTIMATED), A15 (verified_purchase=FALSE), A16 (dedupe canonical case)</t>
        </is>
      </c>
      <c r="E56" s="5" t="n">
        <v>3</v>
      </c>
      <c r="F56" s="5" t="inlineStr"/>
      <c r="G56" s="5" t="inlineStr">
        <is>
          <t>Not started</t>
        </is>
      </c>
      <c r="H56" s="5" t="inlineStr"/>
    </row>
    <row r="57">
      <c r="A57" s="5" t="inlineStr">
        <is>
          <t>M6</t>
        </is>
      </c>
      <c r="B57" s="5" t="n">
        <v>3</v>
      </c>
      <c r="C57" s="5" t="n">
        <v>4</v>
      </c>
      <c r="D57" s="5" t="inlineStr">
        <is>
          <t>A13 fraud-ring flag + risk tier</t>
        </is>
      </c>
      <c r="E57" s="5" t="n">
        <v>2</v>
      </c>
      <c r="F57" s="5" t="inlineStr"/>
      <c r="G57" s="5" t="inlineStr">
        <is>
          <t>Not started</t>
        </is>
      </c>
      <c r="H57" s="5" t="inlineStr"/>
    </row>
    <row r="58">
      <c r="A58" s="5" t="inlineStr">
        <is>
          <t>M6</t>
        </is>
      </c>
      <c r="B58" s="5" t="n">
        <v>4</v>
      </c>
      <c r="C58" s="5" t="n">
        <v>5</v>
      </c>
      <c r="D58" s="5" t="inlineStr">
        <is>
          <t>Write corrected silver_nl_listing_events, silver_rv_reviews, silver_cs_cases</t>
        </is>
      </c>
      <c r="E58" s="5" t="n">
        <v>1.5</v>
      </c>
      <c r="F58" s="5" t="inlineStr"/>
      <c r="G58" s="5" t="inlineStr">
        <is>
          <t>Not started</t>
        </is>
      </c>
      <c r="H58" s="5" t="inlineStr"/>
    </row>
    <row r="59">
      <c r="A59" s="5" t="inlineStr">
        <is>
          <t>M6</t>
        </is>
      </c>
      <c r="B59" s="5" t="n">
        <v>5</v>
      </c>
      <c r="C59" s="5" t="n">
        <v>6</v>
      </c>
      <c r="D59" s="5" t="inlineStr">
        <is>
          <t>Rebuild dim_seller, fact_customer_review, fact_classified_listing_event</t>
        </is>
      </c>
      <c r="E59" s="5" t="n">
        <v>2.5</v>
      </c>
      <c r="F59" s="5" t="inlineStr"/>
      <c r="G59" s="5" t="inlineStr">
        <is>
          <t>Not started</t>
        </is>
      </c>
      <c r="H59" s="5" t="inlineStr"/>
    </row>
    <row r="60">
      <c r="A60" s="5" t="inlineStr">
        <is>
          <t>M6</t>
        </is>
      </c>
      <c r="B60" s="5" t="n">
        <v>6</v>
      </c>
      <c r="C60" s="5" t="n">
        <v>7</v>
      </c>
      <c r="D60" s="5" t="inlineStr">
        <is>
          <t>Assist Check 9 (no ESTIMATED NL in confirmed totals) + Check 3 (grain)</t>
        </is>
      </c>
      <c r="E60" s="5" t="n">
        <v>1.5</v>
      </c>
      <c r="F60" s="5" t="inlineStr"/>
      <c r="G60" s="5" t="inlineStr">
        <is>
          <t>Not started</t>
        </is>
      </c>
      <c r="H60" s="5" t="inlineStr"/>
    </row>
    <row r="61">
      <c r="A61" s="5" t="inlineStr">
        <is>
          <t>M6</t>
        </is>
      </c>
      <c r="B61" s="5" t="n">
        <v>7</v>
      </c>
      <c r="C61" s="5" t="n">
        <v>8</v>
      </c>
      <c r="D61" s="5" t="inlineStr">
        <is>
          <t>Build the 4 ecommerce funnel views</t>
        </is>
      </c>
      <c r="E61" s="5" t="n">
        <v>3</v>
      </c>
      <c r="F61" s="5" t="inlineStr">
        <is>
          <t>Lead's clickstream fact rebuild (fact_web_session / fact_web_page_event)</t>
        </is>
      </c>
      <c r="G61" s="5" t="inlineStr">
        <is>
          <t>Not started</t>
        </is>
      </c>
      <c r="H61" s="5" t="inlineStr"/>
    </row>
    <row r="62">
      <c r="A62" s="5" t="inlineStr">
        <is>
          <t>M6</t>
        </is>
      </c>
      <c r="B62" s="5" t="n">
        <v>8</v>
      </c>
      <c r="C62" s="5" t="n">
        <v>9</v>
      </c>
      <c r="D62" s="5" t="inlineStr">
        <is>
          <t>Customer Journey page</t>
        </is>
      </c>
      <c r="E62" s="5" t="n">
        <v>3</v>
      </c>
      <c r="F62" s="5" t="inlineStr"/>
      <c r="G62" s="5" t="inlineStr">
        <is>
          <t>Not started</t>
        </is>
      </c>
      <c r="H62" s="5" t="inlineStr"/>
    </row>
    <row r="63">
      <c r="A63" s="5" t="inlineStr">
        <is>
          <t>M6</t>
        </is>
      </c>
      <c r="B63" s="5" t="n">
        <v>9</v>
      </c>
      <c r="C63" s="5" t="n">
        <v>10</v>
      </c>
      <c r="D63" s="5" t="inlineStr">
        <is>
          <t>Write S1 (A4, A13, A15, A16) + S2 review/listing rebuild</t>
        </is>
      </c>
      <c r="E63" s="5" t="n">
        <v>2</v>
      </c>
      <c r="F63" s="5" t="inlineStr"/>
      <c r="G63" s="5" t="inlineStr">
        <is>
          <t>Not started</t>
        </is>
      </c>
      <c r="H63" s="5" t="inlineStr"/>
    </row>
  </sheetData>
  <conditionalFormatting sqref="G2:G63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"Done"</formula>
    </cfRule>
  </conditionalFormatting>
  <dataValidations count="1">
    <dataValidation sqref="G2:G63" showDropDown="0" showInputMessage="0" showErrorMessage="0" allowBlank="1" type="list">
      <formula1>=_lists!$A$1:$A$4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8" customWidth="1" min="3" max="3"/>
    <col width="8" customWidth="1" min="4" max="4"/>
    <col width="12" customWidth="1" min="5" max="5"/>
    <col width="13" customWidth="1" min="6" max="6"/>
    <col width="11" customWidth="1" min="7" max="7"/>
    <col width="13" customWidth="1" min="8" max="8"/>
  </cols>
  <sheetData>
    <row r="1">
      <c r="A1" s="4" t="inlineStr">
        <is>
          <t>KPI</t>
        </is>
      </c>
      <c r="B1" s="4" t="inlineStr">
        <is>
          <t>View</t>
        </is>
      </c>
      <c r="C1" s="4" t="inlineStr">
        <is>
          <t>Group</t>
        </is>
      </c>
      <c r="D1" s="4" t="inlineStr">
        <is>
          <t>Owner</t>
        </is>
      </c>
      <c r="E1" s="4" t="inlineStr">
        <is>
          <t>Certainty</t>
        </is>
      </c>
      <c r="F1" s="4" t="inlineStr">
        <is>
          <t>View created</t>
        </is>
      </c>
      <c r="G1" s="4" t="inlineStr">
        <is>
          <t>Validated</t>
        </is>
      </c>
      <c r="H1" s="4" t="inlineStr">
        <is>
          <t>Status</t>
        </is>
      </c>
    </row>
    <row r="2">
      <c r="A2" s="5" t="inlineStr">
        <is>
          <t>Gross Sale Value</t>
        </is>
      </c>
      <c r="B2" s="5" t="inlineStr">
        <is>
          <t>vw_gsv</t>
        </is>
      </c>
      <c r="C2" s="5" t="inlineStr">
        <is>
          <t>Finance</t>
        </is>
      </c>
      <c r="D2" s="5" t="inlineStr">
        <is>
          <t>M5</t>
        </is>
      </c>
      <c r="E2" s="5" t="inlineStr">
        <is>
          <t>CONFIRMED</t>
        </is>
      </c>
      <c r="F2" s="5" t="inlineStr">
        <is>
          <t>No</t>
        </is>
      </c>
      <c r="G2" s="5" t="inlineStr">
        <is>
          <t>No</t>
        </is>
      </c>
      <c r="H2" s="5" t="inlineStr">
        <is>
          <t>Not started</t>
        </is>
      </c>
    </row>
    <row r="3">
      <c r="A3" s="5" t="inlineStr">
        <is>
          <t>Net Confirmed Revenue</t>
        </is>
      </c>
      <c r="B3" s="5" t="inlineStr">
        <is>
          <t>vw_ncr</t>
        </is>
      </c>
      <c r="C3" s="5" t="inlineStr">
        <is>
          <t>Finance</t>
        </is>
      </c>
      <c r="D3" s="5" t="inlineStr">
        <is>
          <t>M5</t>
        </is>
      </c>
      <c r="E3" s="5" t="inlineStr">
        <is>
          <t>CONFIRMED</t>
        </is>
      </c>
      <c r="F3" s="5" t="inlineStr">
        <is>
          <t>No</t>
        </is>
      </c>
      <c r="G3" s="5" t="inlineStr">
        <is>
          <t>No</t>
        </is>
      </c>
      <c r="H3" s="5" t="inlineStr">
        <is>
          <t>Not started</t>
        </is>
      </c>
    </row>
    <row r="4">
      <c r="A4" s="5" t="inlineStr">
        <is>
          <t>Revenue Leakage</t>
        </is>
      </c>
      <c r="B4" s="5" t="inlineStr">
        <is>
          <t>vw_revenue_leakage</t>
        </is>
      </c>
      <c r="C4" s="5" t="inlineStr">
        <is>
          <t>Finance</t>
        </is>
      </c>
      <c r="D4" s="5" t="inlineStr">
        <is>
          <t>M5</t>
        </is>
      </c>
      <c r="E4" s="5" t="inlineStr">
        <is>
          <t>CONFIRMED</t>
        </is>
      </c>
      <c r="F4" s="5" t="inlineStr">
        <is>
          <t>No</t>
        </is>
      </c>
      <c r="G4" s="5" t="inlineStr">
        <is>
          <t>No</t>
        </is>
      </c>
      <c r="H4" s="5" t="inlineStr">
        <is>
          <t>Not started</t>
        </is>
      </c>
    </row>
    <row r="5">
      <c r="A5" s="5" t="inlineStr">
        <is>
          <t>Gross Margin by Channel</t>
        </is>
      </c>
      <c r="B5" s="5" t="inlineStr">
        <is>
          <t>vw_gross_margin_by_channel</t>
        </is>
      </c>
      <c r="C5" s="5" t="inlineStr">
        <is>
          <t>Finance</t>
        </is>
      </c>
      <c r="D5" s="5" t="inlineStr">
        <is>
          <t>M5</t>
        </is>
      </c>
      <c r="E5" s="5" t="inlineStr">
        <is>
          <t>CONFIRMED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Not started</t>
        </is>
      </c>
    </row>
    <row r="6">
      <c r="A6" s="5" t="inlineStr">
        <is>
          <t>Net Margin after Fulfilment</t>
        </is>
      </c>
      <c r="B6" s="5" t="inlineStr">
        <is>
          <t>vw_net_margin_after_fulfilment</t>
        </is>
      </c>
      <c r="C6" s="5" t="inlineStr">
        <is>
          <t>Finance</t>
        </is>
      </c>
      <c r="D6" s="5" t="inlineStr">
        <is>
          <t>M5</t>
        </is>
      </c>
      <c r="E6" s="5" t="inlineStr">
        <is>
          <t>CONFIRMED</t>
        </is>
      </c>
      <c r="F6" s="5" t="inlineStr">
        <is>
          <t>No</t>
        </is>
      </c>
      <c r="G6" s="5" t="inlineStr">
        <is>
          <t>No</t>
        </is>
      </c>
      <c r="H6" s="5" t="inlineStr">
        <is>
          <t>Not started</t>
        </is>
      </c>
    </row>
    <row r="7">
      <c r="A7" s="5" t="inlineStr">
        <is>
          <t>Confirmed GMV</t>
        </is>
      </c>
      <c r="B7" s="5" t="inlineStr">
        <is>
          <t>vw_confirmed_gmv</t>
        </is>
      </c>
      <c r="C7" s="5" t="inlineStr">
        <is>
          <t>Finance</t>
        </is>
      </c>
      <c r="D7" s="5" t="inlineStr">
        <is>
          <t>M2</t>
        </is>
      </c>
      <c r="E7" s="5" t="inlineStr">
        <is>
          <t>CONFIRMED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Not started</t>
        </is>
      </c>
    </row>
    <row r="8">
      <c r="A8" s="5" t="inlineStr">
        <is>
          <t>Estimated Classified GMV</t>
        </is>
      </c>
      <c r="B8" s="5" t="inlineStr">
        <is>
          <t>vw_estimated_classified_gmv</t>
        </is>
      </c>
      <c r="C8" s="5" t="inlineStr">
        <is>
          <t>Finance</t>
        </is>
      </c>
      <c r="D8" s="5" t="inlineStr">
        <is>
          <t>M2</t>
        </is>
      </c>
      <c r="E8" s="5" t="inlineStr">
        <is>
          <t>ESTIMATED</t>
        </is>
      </c>
      <c r="F8" s="5" t="inlineStr">
        <is>
          <t>No</t>
        </is>
      </c>
      <c r="G8" s="5" t="inlineStr">
        <is>
          <t>No</t>
        </is>
      </c>
      <c r="H8" s="5" t="inlineStr">
        <is>
          <t>Not started</t>
        </is>
      </c>
    </row>
    <row r="9">
      <c r="A9" s="5" t="inlineStr">
        <is>
          <t>Campaign Incremental Revenue</t>
        </is>
      </c>
      <c r="B9" s="5" t="inlineStr">
        <is>
          <t>vw_campaign_incremental_revenue</t>
        </is>
      </c>
      <c r="C9" s="5" t="inlineStr">
        <is>
          <t>Finance</t>
        </is>
      </c>
      <c r="D9" s="5" t="inlineStr">
        <is>
          <t>Lead</t>
        </is>
      </c>
      <c r="E9" s="5" t="inlineStr">
        <is>
          <t>CONFIRMED</t>
        </is>
      </c>
      <c r="F9" s="5" t="inlineStr">
        <is>
          <t>No</t>
        </is>
      </c>
      <c r="G9" s="5" t="inlineStr">
        <is>
          <t>No</t>
        </is>
      </c>
      <c r="H9" s="5" t="inlineStr">
        <is>
          <t>Not started</t>
        </is>
      </c>
    </row>
    <row r="10">
      <c r="A10" s="5" t="inlineStr">
        <is>
          <t>ATP by SKU-Location-Date</t>
        </is>
      </c>
      <c r="B10" s="5" t="inlineStr">
        <is>
          <t>vw_atp_sku_loc_date</t>
        </is>
      </c>
      <c r="C10" s="5" t="inlineStr">
        <is>
          <t>Inventory</t>
        </is>
      </c>
      <c r="D10" s="5" t="inlineStr">
        <is>
          <t>M4</t>
        </is>
      </c>
      <c r="E10" s="5" t="inlineStr">
        <is>
          <t>CONFIRMED (semi-additive)</t>
        </is>
      </c>
      <c r="F10" s="5" t="inlineStr">
        <is>
          <t>No</t>
        </is>
      </c>
      <c r="G10" s="5" t="inlineStr">
        <is>
          <t>No</t>
        </is>
      </c>
      <c r="H10" s="5" t="inlineStr">
        <is>
          <t>Not started</t>
        </is>
      </c>
    </row>
    <row r="11">
      <c r="A11" s="5" t="inlineStr">
        <is>
          <t>Stockout Rate</t>
        </is>
      </c>
      <c r="B11" s="5" t="inlineStr">
        <is>
          <t>vw_stockout_rate</t>
        </is>
      </c>
      <c r="C11" s="5" t="inlineStr">
        <is>
          <t>Inventory</t>
        </is>
      </c>
      <c r="D11" s="5" t="inlineStr">
        <is>
          <t>M4</t>
        </is>
      </c>
      <c r="E11" s="5" t="inlineStr">
        <is>
          <t>CONFIRMED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Not started</t>
        </is>
      </c>
    </row>
    <row r="12">
      <c r="A12" s="5" t="inlineStr">
        <is>
          <t>Oversell Count</t>
        </is>
      </c>
      <c r="B12" s="5" t="inlineStr">
        <is>
          <t>vw_oversell_count</t>
        </is>
      </c>
      <c r="C12" s="5" t="inlineStr">
        <is>
          <t>Inventory</t>
        </is>
      </c>
      <c r="D12" s="5" t="inlineStr">
        <is>
          <t>M4</t>
        </is>
      </c>
      <c r="E12" s="5" t="inlineStr">
        <is>
          <t>CONFIRMED</t>
        </is>
      </c>
      <c r="F12" s="5" t="inlineStr">
        <is>
          <t>No</t>
        </is>
      </c>
      <c r="G12" s="5" t="inlineStr">
        <is>
          <t>No</t>
        </is>
      </c>
      <c r="H12" s="5" t="inlineStr">
        <is>
          <t>Not started</t>
        </is>
      </c>
    </row>
    <row r="13">
      <c r="A13" s="5" t="inlineStr">
        <is>
          <t>Inventory Accuracy Rate</t>
        </is>
      </c>
      <c r="B13" s="5" t="inlineStr">
        <is>
          <t>vw_inventory_accuracy_rate</t>
        </is>
      </c>
      <c r="C13" s="5" t="inlineStr">
        <is>
          <t>Inventory</t>
        </is>
      </c>
      <c r="D13" s="5" t="inlineStr">
        <is>
          <t>M4</t>
        </is>
      </c>
      <c r="E13" s="5" t="inlineStr">
        <is>
          <t>CONFIRMED</t>
        </is>
      </c>
      <c r="F13" s="5" t="inlineStr">
        <is>
          <t>No</t>
        </is>
      </c>
      <c r="G13" s="5" t="inlineStr">
        <is>
          <t>No</t>
        </is>
      </c>
      <c r="H13" s="5" t="inlineStr">
        <is>
          <t>Not started</t>
        </is>
      </c>
    </row>
    <row r="14">
      <c r="A14" s="5" t="inlineStr">
        <is>
          <t>Return-to-Restock Cycle Time</t>
        </is>
      </c>
      <c r="B14" s="5" t="inlineStr">
        <is>
          <t>vw_return_to_restock_cycle_time</t>
        </is>
      </c>
      <c r="C14" s="5" t="inlineStr">
        <is>
          <t>Inventory</t>
        </is>
      </c>
      <c r="D14" s="5" t="inlineStr">
        <is>
          <t>M4</t>
        </is>
      </c>
      <c r="E14" s="5" t="inlineStr">
        <is>
          <t>CONFIRMED</t>
        </is>
      </c>
      <c r="F14" s="5" t="inlineStr">
        <is>
          <t>No</t>
        </is>
      </c>
      <c r="G14" s="5" t="inlineStr">
        <is>
          <t>No</t>
        </is>
      </c>
      <c r="H14" s="5" t="inlineStr">
        <is>
          <t>Not started</t>
        </is>
      </c>
    </row>
    <row r="15">
      <c r="A15" s="5" t="inlineStr">
        <is>
          <t>Open-Box Conversion Rate</t>
        </is>
      </c>
      <c r="B15" s="5" t="inlineStr">
        <is>
          <t>vw_open_box_conversion_rate</t>
        </is>
      </c>
      <c r="C15" s="5" t="inlineStr">
        <is>
          <t>Inventory</t>
        </is>
      </c>
      <c r="D15" s="5" t="inlineStr">
        <is>
          <t>M3</t>
        </is>
      </c>
      <c r="E15" s="5" t="inlineStr">
        <is>
          <t>CONFIRMED</t>
        </is>
      </c>
      <c r="F15" s="5" t="inlineStr">
        <is>
          <t>No</t>
        </is>
      </c>
      <c r="G15" s="5" t="inlineStr">
        <is>
          <t>No</t>
        </is>
      </c>
      <c r="H15" s="5" t="inlineStr">
        <is>
          <t>Not started</t>
        </is>
      </c>
    </row>
    <row r="16">
      <c r="A16" s="5" t="inlineStr">
        <is>
          <t>Cart Abandonment Rate</t>
        </is>
      </c>
      <c r="B16" s="5" t="inlineStr">
        <is>
          <t>vw_cart_abandonment_rate</t>
        </is>
      </c>
      <c r="C16" s="5" t="inlineStr">
        <is>
          <t>Ecom/Store</t>
        </is>
      </c>
      <c r="D16" s="5" t="inlineStr">
        <is>
          <t>M6</t>
        </is>
      </c>
      <c r="E16" s="5" t="inlineStr">
        <is>
          <t>CONFIRMED</t>
        </is>
      </c>
      <c r="F16" s="5" t="inlineStr">
        <is>
          <t>No</t>
        </is>
      </c>
      <c r="G16" s="5" t="inlineStr">
        <is>
          <t>No</t>
        </is>
      </c>
      <c r="H16" s="5" t="inlineStr">
        <is>
          <t>Not started</t>
        </is>
      </c>
    </row>
    <row r="17">
      <c r="A17" s="5" t="inlineStr">
        <is>
          <t>Checkout Conversion Rate</t>
        </is>
      </c>
      <c r="B17" s="5" t="inlineStr">
        <is>
          <t>vw_checkout_conversion_rate</t>
        </is>
      </c>
      <c r="C17" s="5" t="inlineStr">
        <is>
          <t>Ecom/Store</t>
        </is>
      </c>
      <c r="D17" s="5" t="inlineStr">
        <is>
          <t>M6</t>
        </is>
      </c>
      <c r="E17" s="5" t="inlineStr">
        <is>
          <t>CONFIRMED</t>
        </is>
      </c>
      <c r="F17" s="5" t="inlineStr">
        <is>
          <t>No</t>
        </is>
      </c>
      <c r="G17" s="5" t="inlineStr">
        <is>
          <t>No</t>
        </is>
      </c>
      <c r="H17" s="5" t="inlineStr">
        <is>
          <t>Not started</t>
        </is>
      </c>
    </row>
    <row r="18">
      <c r="A18" s="5" t="inlineStr">
        <is>
          <t>Browse-Online-Buy-In-Store</t>
        </is>
      </c>
      <c r="B18" s="5" t="inlineStr">
        <is>
          <t>vw_browse_online_buy_in_store_rate</t>
        </is>
      </c>
      <c r="C18" s="5" t="inlineStr">
        <is>
          <t>Ecom/Store</t>
        </is>
      </c>
      <c r="D18" s="5" t="inlineStr">
        <is>
          <t>M6</t>
        </is>
      </c>
      <c r="E18" s="5" t="inlineStr">
        <is>
          <t>INFERRED</t>
        </is>
      </c>
      <c r="F18" s="5" t="inlineStr">
        <is>
          <t>No</t>
        </is>
      </c>
      <c r="G18" s="5" t="inlineStr">
        <is>
          <t>No</t>
        </is>
      </c>
      <c r="H18" s="5" t="inlineStr">
        <is>
          <t>Not started</t>
        </is>
      </c>
    </row>
    <row r="19">
      <c r="A19" s="5" t="inlineStr">
        <is>
          <t>Browse-Online-Contact-NexaLocal</t>
        </is>
      </c>
      <c r="B19" s="5" t="inlineStr">
        <is>
          <t>vw_browse_online_contact_nexalocal_rate</t>
        </is>
      </c>
      <c r="C19" s="5" t="inlineStr">
        <is>
          <t>Ecom/Store</t>
        </is>
      </c>
      <c r="D19" s="5" t="inlineStr">
        <is>
          <t>M6</t>
        </is>
      </c>
      <c r="E19" s="5" t="inlineStr">
        <is>
          <t>INFERRED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Not started</t>
        </is>
      </c>
    </row>
    <row r="20">
      <c r="A20" s="5" t="inlineStr">
        <is>
          <t>BOPIS Pickup Readiness Time</t>
        </is>
      </c>
      <c r="B20" s="5" t="inlineStr">
        <is>
          <t>vw_bopis_pickup_readiness_time</t>
        </is>
      </c>
      <c r="C20" s="5" t="inlineStr">
        <is>
          <t>Ecom/Store</t>
        </is>
      </c>
      <c r="D20" s="5" t="inlineStr">
        <is>
          <t>Lead</t>
        </is>
      </c>
      <c r="E20" s="5" t="inlineStr">
        <is>
          <t>CONFIRMED</t>
        </is>
      </c>
      <c r="F20" s="5" t="inlineStr">
        <is>
          <t>No</t>
        </is>
      </c>
      <c r="G20" s="5" t="inlineStr">
        <is>
          <t>No</t>
        </is>
      </c>
      <c r="H20" s="5" t="inlineStr">
        <is>
          <t>Not started</t>
        </is>
      </c>
    </row>
    <row r="21">
      <c r="A21" s="5" t="inlineStr">
        <is>
          <t>BORIS Count</t>
        </is>
      </c>
      <c r="B21" s="5" t="inlineStr">
        <is>
          <t>vw_boris_count</t>
        </is>
      </c>
      <c r="C21" s="5" t="inlineStr">
        <is>
          <t>Ecom/Store</t>
        </is>
      </c>
      <c r="D21" s="5" t="inlineStr">
        <is>
          <t>M4</t>
        </is>
      </c>
      <c r="E21" s="5" t="inlineStr">
        <is>
          <t>CONFIRMED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Not started</t>
        </is>
      </c>
    </row>
    <row r="22">
      <c r="A22" s="5" t="inlineStr">
        <is>
          <t>On-Time Delivery Rate</t>
        </is>
      </c>
      <c r="B22" s="5" t="inlineStr">
        <is>
          <t>vw_on_time_delivery_rate</t>
        </is>
      </c>
      <c r="C22" s="5" t="inlineStr">
        <is>
          <t>Ecom/Store</t>
        </is>
      </c>
      <c r="D22" s="5" t="inlineStr">
        <is>
          <t>Lead</t>
        </is>
      </c>
      <c r="E22" s="5" t="inlineStr">
        <is>
          <t>CONFIRMED</t>
        </is>
      </c>
      <c r="F22" s="5" t="inlineStr">
        <is>
          <t>No</t>
        </is>
      </c>
      <c r="G22" s="5" t="inlineStr">
        <is>
          <t>No</t>
        </is>
      </c>
      <c r="H22" s="5" t="inlineStr">
        <is>
          <t>Not started</t>
        </is>
      </c>
    </row>
    <row r="23">
      <c r="A23" s="5" t="inlineStr">
        <is>
          <t>Payment Failure Rate</t>
        </is>
      </c>
      <c r="B23" s="5" t="inlineStr">
        <is>
          <t>vw_payment_failure_rate</t>
        </is>
      </c>
      <c r="C23" s="5" t="inlineStr">
        <is>
          <t>Ecom/Store</t>
        </is>
      </c>
      <c r="D23" s="5" t="inlineStr">
        <is>
          <t>M5</t>
        </is>
      </c>
      <c r="E23" s="5" t="inlineStr">
        <is>
          <t>CONFIRMED</t>
        </is>
      </c>
      <c r="F23" s="5" t="inlineStr">
        <is>
          <t>No</t>
        </is>
      </c>
      <c r="G23" s="5" t="inlineStr">
        <is>
          <t>No</t>
        </is>
      </c>
      <c r="H23" s="5" t="inlineStr">
        <is>
          <t>Not started</t>
        </is>
      </c>
    </row>
    <row r="24">
      <c r="A24" s="5" t="inlineStr">
        <is>
          <t>Active Listing Count</t>
        </is>
      </c>
      <c r="B24" s="5" t="inlineStr">
        <is>
          <t>vw_active_listing_count</t>
        </is>
      </c>
      <c r="C24" s="5" t="inlineStr">
        <is>
          <t>NexaLocal/Seller</t>
        </is>
      </c>
      <c r="D24" s="5" t="inlineStr">
        <is>
          <t>M2</t>
        </is>
      </c>
      <c r="E24" s="5" t="inlineStr">
        <is>
          <t>CONFIRMED</t>
        </is>
      </c>
      <c r="F24" s="5" t="inlineStr">
        <is>
          <t>No</t>
        </is>
      </c>
      <c r="G24" s="5" t="inlineStr">
        <is>
          <t>No</t>
        </is>
      </c>
      <c r="H24" s="5" t="inlineStr">
        <is>
          <t>Not started</t>
        </is>
      </c>
    </row>
    <row r="25">
      <c r="A25" s="5" t="inlineStr">
        <is>
          <t>Listing Contact Rate</t>
        </is>
      </c>
      <c r="B25" s="5" t="inlineStr">
        <is>
          <t>vw_listing_contact_rate</t>
        </is>
      </c>
      <c r="C25" s="5" t="inlineStr">
        <is>
          <t>NexaLocal/Seller</t>
        </is>
      </c>
      <c r="D25" s="5" t="inlineStr">
        <is>
          <t>M2</t>
        </is>
      </c>
      <c r="E25" s="5" t="inlineStr">
        <is>
          <t>CONFIRMED</t>
        </is>
      </c>
      <c r="F25" s="5" t="inlineStr">
        <is>
          <t>No</t>
        </is>
      </c>
      <c r="G25" s="5" t="inlineStr">
        <is>
          <t>No</t>
        </is>
      </c>
      <c r="H25" s="5" t="inlineStr">
        <is>
          <t>Not started</t>
        </is>
      </c>
    </row>
    <row r="26">
      <c r="A26" s="5" t="inlineStr">
        <is>
          <t>Relisting Rate</t>
        </is>
      </c>
      <c r="B26" s="5" t="inlineStr">
        <is>
          <t>vw_relisting_rate</t>
        </is>
      </c>
      <c r="C26" s="5" t="inlineStr">
        <is>
          <t>NexaLocal/Seller</t>
        </is>
      </c>
      <c r="D26" s="5" t="inlineStr">
        <is>
          <t>M2</t>
        </is>
      </c>
      <c r="E26" s="5" t="inlineStr">
        <is>
          <t>CONFIRMED</t>
        </is>
      </c>
      <c r="F26" s="5" t="inlineStr">
        <is>
          <t>No</t>
        </is>
      </c>
      <c r="G26" s="5" t="inlineStr">
        <is>
          <t>No</t>
        </is>
      </c>
      <c r="H26" s="5" t="inlineStr">
        <is>
          <t>Not started</t>
        </is>
      </c>
    </row>
    <row r="27">
      <c r="A27" s="5" t="inlineStr">
        <is>
          <t>Duplicate Listing Inflation Factor</t>
        </is>
      </c>
      <c r="B27" s="5" t="inlineStr">
        <is>
          <t>vw_duplicate_listing_inflation_factor</t>
        </is>
      </c>
      <c r="C27" s="5" t="inlineStr">
        <is>
          <t>NexaLocal/Seller</t>
        </is>
      </c>
      <c r="D27" s="5" t="inlineStr">
        <is>
          <t>M2</t>
        </is>
      </c>
      <c r="E27" s="5" t="inlineStr">
        <is>
          <t>CONFIRMED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Not started</t>
        </is>
      </c>
    </row>
    <row r="28">
      <c r="A28" s="5" t="inlineStr">
        <is>
          <t>Seller Risk Score Distribution</t>
        </is>
      </c>
      <c r="B28" s="5" t="inlineStr">
        <is>
          <t>vw_seller_risk_score_distribution</t>
        </is>
      </c>
      <c r="C28" s="5" t="inlineStr">
        <is>
          <t>NexaLocal/Seller</t>
        </is>
      </c>
      <c r="D28" s="5" t="inlineStr">
        <is>
          <t>M2</t>
        </is>
      </c>
      <c r="E28" s="5" t="inlineStr">
        <is>
          <t>CONFIRMED</t>
        </is>
      </c>
      <c r="F28" s="5" t="inlineStr">
        <is>
          <t>No</t>
        </is>
      </c>
      <c r="G28" s="5" t="inlineStr">
        <is>
          <t>No</t>
        </is>
      </c>
      <c r="H28" s="5" t="inlineStr">
        <is>
          <t>Not started</t>
        </is>
      </c>
    </row>
    <row r="29">
      <c r="A29" s="5" t="inlineStr">
        <is>
          <t>Validated Report Rate</t>
        </is>
      </c>
      <c r="B29" s="5" t="inlineStr">
        <is>
          <t>vw_validated_report_rate</t>
        </is>
      </c>
      <c r="C29" s="5" t="inlineStr">
        <is>
          <t>NexaLocal/Seller</t>
        </is>
      </c>
      <c r="D29" s="5" t="inlineStr">
        <is>
          <t>M2</t>
        </is>
      </c>
      <c r="E29" s="5" t="inlineStr">
        <is>
          <t>INFERRED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Not started</t>
        </is>
      </c>
    </row>
  </sheetData>
  <conditionalFormatting sqref="H2:H29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"Done"</formula>
    </cfRule>
  </conditionalFormatting>
  <dataValidations count="3">
    <dataValidation sqref="F2:F29" showDropDown="0" showInputMessage="0" showErrorMessage="0" allowBlank="1" type="list">
      <formula1>=_lists!$C$1:$C$2</formula1>
    </dataValidation>
    <dataValidation sqref="G2:G29" showDropDown="0" showInputMessage="0" showErrorMessage="0" allowBlank="1" type="list">
      <formula1>=_lists!$C$1:$C$2</formula1>
    </dataValidation>
    <dataValidation sqref="H2:H29" showDropDown="0" showInputMessage="0" showErrorMessage="0" allowBlank="1" type="list">
      <formula1>=_lists!$A$1:$A$4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0" customWidth="1" min="3" max="3"/>
    <col width="14" customWidth="1" min="4" max="4"/>
    <col width="14" customWidth="1" min="5" max="5"/>
    <col width="13" customWidth="1" min="6" max="6"/>
    <col width="26" customWidth="1" min="7" max="7"/>
  </cols>
  <sheetData>
    <row r="1">
      <c r="A1" s="4" t="inlineStr">
        <is>
          <t>Check#</t>
        </is>
      </c>
      <c r="B1" s="4" t="inlineStr">
        <is>
          <t>Name</t>
        </is>
      </c>
      <c r="C1" s="4" t="inlineStr">
        <is>
          <t>Owner</t>
        </is>
      </c>
      <c r="D1" s="4" t="inlineStr">
        <is>
          <t>Iter-1 result</t>
        </is>
      </c>
      <c r="E1" s="4" t="inlineStr">
        <is>
          <t>Iter-2 result</t>
        </is>
      </c>
      <c r="F1" s="4" t="inlineStr">
        <is>
          <t>Final result</t>
        </is>
      </c>
      <c r="G1" s="4" t="inlineStr">
        <is>
          <t>Notes</t>
        </is>
      </c>
    </row>
    <row r="2">
      <c r="A2" s="5" t="n">
        <v>1</v>
      </c>
      <c r="B2" s="5" t="inlineStr">
        <is>
          <t>Completeness / row counts</t>
        </is>
      </c>
      <c r="C2" s="5" t="inlineStr">
        <is>
          <t>Lead</t>
        </is>
      </c>
      <c r="D2" s="5" t="inlineStr"/>
      <c r="E2" s="5" t="inlineStr"/>
      <c r="F2" s="5" t="inlineStr">
        <is>
          <t>Pending</t>
        </is>
      </c>
      <c r="G2" s="5" t="inlineStr"/>
    </row>
    <row r="3">
      <c r="A3" s="5" t="n">
        <v>2</v>
      </c>
      <c r="B3" s="5" t="inlineStr">
        <is>
          <t>Referential Integrity (no orphan FKs)</t>
        </is>
      </c>
      <c r="C3" s="5" t="inlineStr">
        <is>
          <t>Lead</t>
        </is>
      </c>
      <c r="D3" s="5" t="inlineStr"/>
      <c r="E3" s="5" t="inlineStr"/>
      <c r="F3" s="5" t="inlineStr">
        <is>
          <t>Pending</t>
        </is>
      </c>
      <c r="G3" s="5" t="inlineStr"/>
    </row>
    <row r="4">
      <c r="A4" s="5" t="n">
        <v>3</v>
      </c>
      <c r="B4" s="5" t="inlineStr">
        <is>
          <t>Grain Violations</t>
        </is>
      </c>
      <c r="C4" s="5" t="inlineStr">
        <is>
          <t>M3</t>
        </is>
      </c>
      <c r="D4" s="5" t="inlineStr"/>
      <c r="E4" s="5" t="inlineStr"/>
      <c r="F4" s="5" t="inlineStr">
        <is>
          <t>Pending</t>
        </is>
      </c>
      <c r="G4" s="5" t="inlineStr"/>
    </row>
    <row r="5">
      <c r="A5" s="5" t="n">
        <v>4</v>
      </c>
      <c r="B5" s="5" t="inlineStr">
        <is>
          <t>Additive Fact Sanity (net=gross-disc-return)</t>
        </is>
      </c>
      <c r="C5" s="5" t="inlineStr">
        <is>
          <t>M5 / M4</t>
        </is>
      </c>
      <c r="D5" s="5" t="inlineStr"/>
      <c r="E5" s="5" t="inlineStr"/>
      <c r="F5" s="5" t="inlineStr">
        <is>
          <t>Pending</t>
        </is>
      </c>
      <c r="G5" s="5" t="inlineStr"/>
    </row>
    <row r="6">
      <c r="A6" s="5" t="n">
        <v>5</v>
      </c>
      <c r="B6" s="5" t="inlineStr">
        <is>
          <t>Semi-Additive Guard (no SUM(ATP) across dates)</t>
        </is>
      </c>
      <c r="C6" s="5" t="inlineStr">
        <is>
          <t>Lead</t>
        </is>
      </c>
      <c r="D6" s="5" t="inlineStr"/>
      <c r="E6" s="5" t="inlineStr"/>
      <c r="F6" s="5" t="inlineStr">
        <is>
          <t>Pending</t>
        </is>
      </c>
      <c r="G6" s="5" t="inlineStr"/>
    </row>
    <row r="7">
      <c r="A7" s="5" t="n">
        <v>6</v>
      </c>
      <c r="B7" s="5" t="inlineStr">
        <is>
          <t>Metric Certainty Completeness</t>
        </is>
      </c>
      <c r="C7" s="5" t="inlineStr">
        <is>
          <t>M2</t>
        </is>
      </c>
      <c r="D7" s="5" t="inlineStr"/>
      <c r="E7" s="5" t="inlineStr"/>
      <c r="F7" s="5" t="inlineStr">
        <is>
          <t>Pending</t>
        </is>
      </c>
      <c r="G7" s="5" t="inlineStr"/>
    </row>
    <row r="8">
      <c r="A8" s="5" t="n">
        <v>7</v>
      </c>
      <c r="B8" s="5" t="inlineStr">
        <is>
          <t>Campaign Period Coverage (&gt;=1 row/fact)</t>
        </is>
      </c>
      <c r="C8" s="5" t="inlineStr">
        <is>
          <t>Lead</t>
        </is>
      </c>
      <c r="D8" s="5" t="inlineStr"/>
      <c r="E8" s="5" t="inlineStr"/>
      <c r="F8" s="5" t="inlineStr">
        <is>
          <t>Pending</t>
        </is>
      </c>
      <c r="G8" s="5" t="inlineStr"/>
    </row>
    <row r="9">
      <c r="A9" s="5" t="n">
        <v>8</v>
      </c>
      <c r="B9" s="5" t="inlineStr">
        <is>
          <t>Inventory Balance Reconciliation</t>
        </is>
      </c>
      <c r="C9" s="5" t="inlineStr">
        <is>
          <t>M4</t>
        </is>
      </c>
      <c r="D9" s="5" t="inlineStr"/>
      <c r="E9" s="5" t="inlineStr"/>
      <c r="F9" s="5" t="inlineStr">
        <is>
          <t>Pending</t>
        </is>
      </c>
      <c r="G9" s="5" t="inlineStr"/>
    </row>
    <row r="10">
      <c r="A10" s="5" t="n">
        <v>9</v>
      </c>
      <c r="B10" s="5" t="inlineStr">
        <is>
          <t>Classified Certainty Segregation</t>
        </is>
      </c>
      <c r="C10" s="5" t="inlineStr">
        <is>
          <t>M2</t>
        </is>
      </c>
      <c r="D10" s="5" t="inlineStr"/>
      <c r="E10" s="5" t="inlineStr"/>
      <c r="F10" s="5" t="inlineStr">
        <is>
          <t>Pending</t>
        </is>
      </c>
      <c r="G10" s="5" t="inlineStr"/>
    </row>
    <row r="11">
      <c r="A11" s="5" t="n">
        <v>10</v>
      </c>
      <c r="B11" s="5" t="inlineStr">
        <is>
          <t>Temporal Consistency (delivered-after-shipped)</t>
        </is>
      </c>
      <c r="C11" s="5" t="inlineStr">
        <is>
          <t>Lead</t>
        </is>
      </c>
      <c r="D11" s="5" t="inlineStr"/>
      <c r="E11" s="5" t="inlineStr"/>
      <c r="F11" s="5" t="inlineStr">
        <is>
          <t>Pending</t>
        </is>
      </c>
      <c r="G11" s="5" t="inlineStr"/>
    </row>
  </sheetData>
  <conditionalFormatting sqref="F2:F11">
    <cfRule type="cellIs" priority="1" operator="equal" dxfId="0">
      <formula>"Pending"</formula>
    </cfRule>
    <cfRule type="cellIs" priority="2" operator="equal" dxfId="3">
      <formula>"Pass"</formula>
    </cfRule>
    <cfRule type="cellIs" priority="3" operator="equal" dxfId="2">
      <formula>"Fail"</formula>
    </cfRule>
  </conditionalFormatting>
  <dataValidations count="1">
    <dataValidation sqref="F2:F11" showDropDown="0" showInputMessage="0" showErrorMessage="0" allowBlank="1" type="list">
      <formula1>=_lists!$B$1:$B$3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4" customWidth="1" min="3" max="3"/>
    <col width="13" customWidth="1" min="4" max="4"/>
  </cols>
  <sheetData>
    <row r="1">
      <c r="A1" s="4" t="inlineStr">
        <is>
          <t>Artifact</t>
        </is>
      </c>
      <c r="B1" s="4" t="inlineStr">
        <is>
          <t>Path</t>
        </is>
      </c>
      <c r="C1" s="4" t="inlineStr">
        <is>
          <t>Owner</t>
        </is>
      </c>
      <c r="D1" s="4" t="inlineStr">
        <is>
          <t>Status</t>
        </is>
      </c>
    </row>
    <row r="2">
      <c r="A2" s="5" t="inlineStr">
        <is>
          <t>Written report (PDF)</t>
        </is>
      </c>
      <c r="B2" s="5" t="inlineStr">
        <is>
          <t>report/nexamart_m2_report.pdf</t>
        </is>
      </c>
      <c r="C2" s="5" t="inlineStr">
        <is>
          <t>Lead</t>
        </is>
      </c>
      <c r="D2" s="5" t="inlineStr">
        <is>
          <t>Not started</t>
        </is>
      </c>
    </row>
    <row r="3">
      <c r="A3" s="5" t="inlineStr">
        <is>
          <t>Anomaly resolution notebook</t>
        </is>
      </c>
      <c r="B3" s="5" t="inlineStr">
        <is>
          <t>notebooks/05_anomaly_resolution.ipynb</t>
        </is>
      </c>
      <c r="C3" s="5" t="inlineStr">
        <is>
          <t>All (resolution owners)</t>
        </is>
      </c>
      <c r="D3" s="5" t="inlineStr">
        <is>
          <t>Not started</t>
        </is>
      </c>
    </row>
    <row r="4">
      <c r="A4" s="5" t="inlineStr">
        <is>
          <t>Gold rebuild notebook</t>
        </is>
      </c>
      <c r="B4" s="5" t="inlineStr">
        <is>
          <t>notebooks/06_gold_rebuild.ipynb</t>
        </is>
      </c>
      <c r="C4" s="5" t="inlineStr">
        <is>
          <t>Lead + fact owners</t>
        </is>
      </c>
      <c r="D4" s="5" t="inlineStr">
        <is>
          <t>Not started</t>
        </is>
      </c>
    </row>
    <row r="5">
      <c r="A5" s="5" t="inlineStr">
        <is>
          <t>Anomaly discovery SQL</t>
        </is>
      </c>
      <c r="B5" s="5" t="inlineStr">
        <is>
          <t>sql/anomaly_discovery.sql</t>
        </is>
      </c>
      <c r="C5" s="5" t="inlineStr">
        <is>
          <t>All</t>
        </is>
      </c>
      <c r="D5" s="5" t="inlineStr">
        <is>
          <t>Not started</t>
        </is>
      </c>
    </row>
    <row r="6">
      <c r="A6" s="5" t="inlineStr">
        <is>
          <t>Anomaly resolution SQL</t>
        </is>
      </c>
      <c r="B6" s="5" t="inlineStr">
        <is>
          <t>sql/anomaly_resolution.sql</t>
        </is>
      </c>
      <c r="C6" s="5" t="inlineStr">
        <is>
          <t>All</t>
        </is>
      </c>
      <c r="D6" s="5" t="inlineStr">
        <is>
          <t>Not started</t>
        </is>
      </c>
    </row>
    <row r="7">
      <c r="A7" s="5" t="inlineStr">
        <is>
          <t>Validation suite SQL</t>
        </is>
      </c>
      <c r="B7" s="5" t="inlineStr">
        <is>
          <t>sql/validation_suite.sql</t>
        </is>
      </c>
      <c r="C7" s="5" t="inlineStr">
        <is>
          <t>Lead</t>
        </is>
      </c>
      <c r="D7" s="5" t="inlineStr">
        <is>
          <t>Not started</t>
        </is>
      </c>
    </row>
    <row r="8">
      <c r="A8" s="5" t="inlineStr">
        <is>
          <t>KPI views SQL</t>
        </is>
      </c>
      <c r="B8" s="5" t="inlineStr">
        <is>
          <t>sql/kpi_views.sql</t>
        </is>
      </c>
      <c r="C8" s="5" t="inlineStr">
        <is>
          <t>All (KPI owners)</t>
        </is>
      </c>
      <c r="D8" s="5" t="inlineStr">
        <is>
          <t>Not started</t>
        </is>
      </c>
    </row>
    <row r="9">
      <c r="A9" s="5" t="inlineStr">
        <is>
          <t>Dashboard file (.pbix/.twbx)</t>
        </is>
      </c>
      <c r="B9" s="5" t="inlineStr">
        <is>
          <t>dashboard/nexamart_dashboard.*</t>
        </is>
      </c>
      <c r="C9" s="5" t="inlineStr">
        <is>
          <t>All (page owners)</t>
        </is>
      </c>
      <c r="D9" s="5" t="inlineStr">
        <is>
          <t>Not started</t>
        </is>
      </c>
    </row>
    <row r="10">
      <c r="A10" s="5" t="inlineStr">
        <is>
          <t>Dashboard screenshots</t>
        </is>
      </c>
      <c r="B10" s="5" t="inlineStr">
        <is>
          <t>dashboard/screenshots/</t>
        </is>
      </c>
      <c r="C10" s="5" t="inlineStr">
        <is>
          <t>All</t>
        </is>
      </c>
      <c r="D10" s="5" t="inlineStr">
        <is>
          <t>Not started</t>
        </is>
      </c>
    </row>
    <row r="11">
      <c r="A11" s="5" t="inlineStr">
        <is>
          <t>Presentation (5-10 slides)</t>
        </is>
      </c>
      <c r="B11" s="5" t="inlineStr">
        <is>
          <t>presentation/nexamart_m2_presentation.*</t>
        </is>
      </c>
      <c r="C11" s="5" t="inlineStr">
        <is>
          <t>Lead</t>
        </is>
      </c>
      <c r="D11" s="5" t="inlineStr">
        <is>
          <t>Not started</t>
        </is>
      </c>
    </row>
    <row r="12">
      <c r="A12" s="5" t="inlineStr">
        <is>
          <t>Submission ZIP</t>
        </is>
      </c>
      <c r="B12" s="5" t="inlineStr">
        <is>
          <t>nexamart_m2_group_[N].zip</t>
        </is>
      </c>
      <c r="C12" s="5" t="inlineStr">
        <is>
          <t>Lead</t>
        </is>
      </c>
      <c r="D12" s="5" t="inlineStr">
        <is>
          <t>Not started</t>
        </is>
      </c>
    </row>
  </sheetData>
  <conditionalFormatting sqref="D2:D12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"Done"</formula>
    </cfRule>
  </conditionalFormatting>
  <dataValidations count="1">
    <dataValidation sqref="D2:D12" showDropDown="0" showInputMessage="0" showErrorMessage="0" allowBlank="1" type="list">
      <formula1>=_lists!$A$1:$A$4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40" customWidth="1" min="4" max="4"/>
    <col width="30" customWidth="1" min="5" max="5"/>
  </cols>
  <sheetData>
    <row r="1">
      <c r="A1" s="4" t="inlineStr">
        <is>
          <t>Date</t>
        </is>
      </c>
      <c r="B1" s="4" t="inlineStr">
        <is>
          <t>Member</t>
        </is>
      </c>
      <c r="C1" s="4" t="inlineStr">
        <is>
          <t>Yesterday</t>
        </is>
      </c>
      <c r="D1" s="4" t="inlineStr">
        <is>
          <t>Today</t>
        </is>
      </c>
      <c r="E1" s="4" t="inlineStr">
        <is>
          <t>Blockers</t>
        </is>
      </c>
    </row>
    <row r="2">
      <c r="A2" s="5" t="inlineStr"/>
      <c r="B2" s="5" t="inlineStr"/>
      <c r="C2" s="5" t="inlineStr"/>
      <c r="D2" s="5" t="inlineStr"/>
      <c r="E2" s="5" t="inlineStr"/>
    </row>
    <row r="3">
      <c r="A3" s="5" t="inlineStr"/>
      <c r="B3" s="5" t="inlineStr"/>
      <c r="C3" s="5" t="inlineStr"/>
      <c r="D3" s="5" t="inlineStr"/>
      <c r="E3" s="5" t="inlineStr"/>
    </row>
    <row r="4">
      <c r="A4" s="5" t="inlineStr"/>
      <c r="B4" s="5" t="inlineStr"/>
      <c r="C4" s="5" t="inlineStr"/>
      <c r="D4" s="5" t="inlineStr"/>
      <c r="E4" s="5" t="inlineStr"/>
    </row>
    <row r="5">
      <c r="A5" s="5" t="inlineStr"/>
      <c r="B5" s="5" t="inlineStr"/>
      <c r="C5" s="5" t="inlineStr"/>
      <c r="D5" s="5" t="inlineStr"/>
      <c r="E5" s="5" t="inlineStr"/>
    </row>
    <row r="6">
      <c r="A6" s="5" t="inlineStr"/>
      <c r="B6" s="5" t="inlineStr"/>
      <c r="C6" s="5" t="inlineStr"/>
      <c r="D6" s="5" t="inlineStr"/>
      <c r="E6" s="5" t="inlineStr"/>
    </row>
    <row r="7">
      <c r="A7" s="5" t="inlineStr"/>
      <c r="B7" s="5" t="inlineStr"/>
      <c r="C7" s="5" t="inlineStr"/>
      <c r="D7" s="5" t="inlineStr"/>
      <c r="E7" s="5" t="inlineStr"/>
    </row>
    <row r="8">
      <c r="A8" s="5" t="inlineStr"/>
      <c r="B8" s="5" t="inlineStr"/>
      <c r="C8" s="5" t="inlineStr"/>
      <c r="D8" s="5" t="inlineStr"/>
      <c r="E8" s="5" t="inlineStr"/>
    </row>
    <row r="9">
      <c r="A9" s="5" t="inlineStr"/>
      <c r="B9" s="5" t="inlineStr"/>
      <c r="C9" s="5" t="inlineStr"/>
      <c r="D9" s="5" t="inlineStr"/>
      <c r="E9" s="5" t="inlineStr"/>
    </row>
    <row r="10">
      <c r="A10" s="5" t="inlineStr"/>
      <c r="B10" s="5" t="inlineStr"/>
      <c r="C10" s="5" t="inlineStr"/>
      <c r="D10" s="5" t="inlineStr"/>
      <c r="E10" s="5" t="inlineStr"/>
    </row>
    <row r="11">
      <c r="A11" s="5" t="inlineStr"/>
      <c r="B11" s="5" t="inlineStr"/>
      <c r="C11" s="5" t="inlineStr"/>
      <c r="D11" s="5" t="inlineStr"/>
      <c r="E11" s="5" t="inlineStr"/>
    </row>
    <row r="12">
      <c r="A12" s="5" t="inlineStr"/>
      <c r="B12" s="5" t="inlineStr"/>
      <c r="C12" s="5" t="inlineStr"/>
      <c r="D12" s="5" t="inlineStr"/>
      <c r="E12" s="5" t="inlineStr"/>
    </row>
    <row r="13">
      <c r="A13" s="5" t="inlineStr"/>
      <c r="B13" s="5" t="inlineStr"/>
      <c r="C13" s="5" t="inlineStr"/>
      <c r="D13" s="5" t="inlineStr"/>
      <c r="E13" s="5" t="inlineStr"/>
    </row>
    <row r="14">
      <c r="A14" s="5" t="inlineStr"/>
      <c r="B14" s="5" t="inlineStr"/>
      <c r="C14" s="5" t="inlineStr"/>
      <c r="D14" s="5" t="inlineStr"/>
      <c r="E14" s="5" t="inlineStr"/>
    </row>
    <row r="15">
      <c r="A15" s="5" t="inlineStr"/>
      <c r="B15" s="5" t="inlineStr"/>
      <c r="C15" s="5" t="inlineStr"/>
      <c r="D15" s="5" t="inlineStr"/>
      <c r="E15" s="5" t="inlineStr"/>
    </row>
    <row r="16">
      <c r="A16" s="5" t="inlineStr"/>
      <c r="B16" s="5" t="inlineStr"/>
      <c r="C16" s="5" t="inlineStr"/>
      <c r="D16" s="5" t="inlineStr"/>
      <c r="E16" s="5" t="inlineStr"/>
    </row>
    <row r="17">
      <c r="A17" s="5" t="inlineStr"/>
      <c r="B17" s="5" t="inlineStr"/>
      <c r="C17" s="5" t="inlineStr"/>
      <c r="D17" s="5" t="inlineStr"/>
      <c r="E17" s="5" t="inlineStr"/>
    </row>
    <row r="18">
      <c r="A18" s="5" t="inlineStr"/>
      <c r="B18" s="5" t="inlineStr"/>
      <c r="C18" s="5" t="inlineStr"/>
      <c r="D18" s="5" t="inlineStr"/>
      <c r="E18" s="5" t="inlineStr"/>
    </row>
    <row r="19">
      <c r="A19" s="5" t="inlineStr"/>
      <c r="B19" s="5" t="inlineStr"/>
      <c r="C19" s="5" t="inlineStr"/>
      <c r="D19" s="5" t="inlineStr"/>
      <c r="E19" s="5" t="inlineStr"/>
    </row>
    <row r="20">
      <c r="A20" s="5" t="inlineStr"/>
      <c r="B20" s="5" t="inlineStr"/>
      <c r="C20" s="5" t="inlineStr"/>
      <c r="D20" s="5" t="inlineStr"/>
      <c r="E20" s="5" t="inlineStr"/>
    </row>
    <row r="21">
      <c r="A21" s="5" t="inlineStr"/>
      <c r="B21" s="5" t="inlineStr"/>
      <c r="C21" s="5" t="inlineStr"/>
      <c r="D21" s="5" t="inlineStr"/>
      <c r="E21" s="5" t="inlineStr"/>
    </row>
    <row r="22">
      <c r="A22" s="5" t="inlineStr"/>
      <c r="B22" s="5" t="inlineStr"/>
      <c r="C22" s="5" t="inlineStr"/>
      <c r="D22" s="5" t="inlineStr"/>
      <c r="E22" s="5" t="inlineStr"/>
    </row>
    <row r="23">
      <c r="A23" s="5" t="inlineStr"/>
      <c r="B23" s="5" t="inlineStr"/>
      <c r="C23" s="5" t="inlineStr"/>
      <c r="D23" s="5" t="inlineStr"/>
      <c r="E23" s="5" t="inlineStr"/>
    </row>
    <row r="24">
      <c r="A24" s="5" t="inlineStr"/>
      <c r="B24" s="5" t="inlineStr"/>
      <c r="C24" s="5" t="inlineStr"/>
      <c r="D24" s="5" t="inlineStr"/>
      <c r="E24" s="5" t="inlineStr"/>
    </row>
    <row r="25">
      <c r="A25" s="5" t="inlineStr"/>
      <c r="B25" s="5" t="inlineStr"/>
      <c r="C25" s="5" t="inlineStr"/>
      <c r="D25" s="5" t="inlineStr"/>
      <c r="E25" s="5" t="inlineStr"/>
    </row>
    <row r="26">
      <c r="A26" s="5" t="inlineStr"/>
      <c r="B26" s="5" t="inlineStr"/>
      <c r="C26" s="5" t="inlineStr"/>
      <c r="D26" s="5" t="inlineStr"/>
      <c r="E26" s="5" t="inlineStr"/>
    </row>
    <row r="27">
      <c r="A27" s="5" t="inlineStr"/>
      <c r="B27" s="5" t="inlineStr"/>
      <c r="C27" s="5" t="inlineStr"/>
      <c r="D27" s="5" t="inlineStr"/>
      <c r="E27" s="5" t="inlineStr"/>
    </row>
    <row r="28">
      <c r="A28" s="5" t="inlineStr"/>
      <c r="B28" s="5" t="inlineStr"/>
      <c r="C28" s="5" t="inlineStr"/>
      <c r="D28" s="5" t="inlineStr"/>
      <c r="E28" s="5" t="inlineStr"/>
    </row>
    <row r="29">
      <c r="A29" s="5" t="inlineStr"/>
      <c r="B29" s="5" t="inlineStr"/>
      <c r="C29" s="5" t="inlineStr"/>
      <c r="D29" s="5" t="inlineStr"/>
      <c r="E29" s="5" t="inlineStr"/>
    </row>
    <row r="30">
      <c r="A30" s="5" t="inlineStr"/>
      <c r="B30" s="5" t="inlineStr"/>
      <c r="C30" s="5" t="inlineStr"/>
      <c r="D30" s="5" t="inlineStr"/>
      <c r="E30" s="5" t="inlineStr"/>
    </row>
    <row r="31">
      <c r="A31" s="5" t="inlineStr"/>
      <c r="B31" s="5" t="inlineStr"/>
      <c r="C31" s="5" t="inlineStr"/>
      <c r="D31" s="5" t="inlineStr"/>
      <c r="E31" s="5" t="inlineStr"/>
    </row>
    <row r="32">
      <c r="A32" s="5" t="inlineStr"/>
      <c r="B32" s="5" t="inlineStr"/>
      <c r="C32" s="5" t="inlineStr"/>
      <c r="D32" s="5" t="inlineStr"/>
      <c r="E32" s="5" t="inlineStr"/>
    </row>
    <row r="33">
      <c r="A33" s="5" t="inlineStr"/>
      <c r="B33" s="5" t="inlineStr"/>
      <c r="C33" s="5" t="inlineStr"/>
      <c r="D33" s="5" t="inlineStr"/>
      <c r="E33" s="5" t="inlineStr"/>
    </row>
    <row r="34">
      <c r="A34" s="5" t="inlineStr"/>
      <c r="B34" s="5" t="inlineStr"/>
      <c r="C34" s="5" t="inlineStr"/>
      <c r="D34" s="5" t="inlineStr"/>
      <c r="E34" s="5" t="inlineStr"/>
    </row>
    <row r="35">
      <c r="A35" s="5" t="inlineStr"/>
      <c r="B35" s="5" t="inlineStr"/>
      <c r="C35" s="5" t="inlineStr"/>
      <c r="D35" s="5" t="inlineStr"/>
      <c r="E35" s="5" t="inlineStr"/>
    </row>
    <row r="36">
      <c r="A36" s="5" t="inlineStr"/>
      <c r="B36" s="5" t="inlineStr"/>
      <c r="C36" s="5" t="inlineStr"/>
      <c r="D36" s="5" t="inlineStr"/>
      <c r="E36" s="5" t="inlineStr"/>
    </row>
    <row r="37">
      <c r="A37" s="5" t="inlineStr"/>
      <c r="B37" s="5" t="inlineStr"/>
      <c r="C37" s="5" t="inlineStr"/>
      <c r="D37" s="5" t="inlineStr"/>
      <c r="E37" s="5" t="inlineStr"/>
    </row>
    <row r="38">
      <c r="A38" s="5" t="inlineStr"/>
      <c r="B38" s="5" t="inlineStr"/>
      <c r="C38" s="5" t="inlineStr"/>
      <c r="D38" s="5" t="inlineStr"/>
      <c r="E38" s="5" t="inlineStr"/>
    </row>
    <row r="39">
      <c r="A39" s="5" t="inlineStr"/>
      <c r="B39" s="5" t="inlineStr"/>
      <c r="C39" s="5" t="inlineStr"/>
      <c r="D39" s="5" t="inlineStr"/>
      <c r="E39" s="5" t="inlineStr"/>
    </row>
    <row r="40">
      <c r="A40" s="5" t="inlineStr"/>
      <c r="B40" s="5" t="inlineStr"/>
      <c r="C40" s="5" t="inlineStr"/>
      <c r="D40" s="5" t="inlineStr"/>
      <c r="E40" s="5" t="inlineStr"/>
    </row>
    <row r="41">
      <c r="A41" s="5" t="inlineStr"/>
      <c r="B41" s="5" t="inlineStr"/>
      <c r="C41" s="5" t="inlineStr"/>
      <c r="D41" s="5" t="inlineStr"/>
      <c r="E41" s="5" t="inlineStr"/>
    </row>
  </sheetData>
  <dataValidations count="1">
    <dataValidation sqref="B2:B41" showDropDown="0" showInputMessage="0" showErrorMessage="0" allowBlank="1" type="list">
      <formula1>=_lists!$D$1:$D$7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2026-06-01T06:29:03Z</dcterms:created>
  <dcterms:modified xmlns:dcterms="http://purl.org/dc/terms/" xmlns:xsi="http://www.w3.org/2001/XMLSchema-instance" xsi:type="dcterms:W3CDTF">2026-06-01T06:29:03Z</dcterms:modified>
</cp:coreProperties>
</file>